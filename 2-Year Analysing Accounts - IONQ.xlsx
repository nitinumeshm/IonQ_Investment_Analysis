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codeName="ThisWorkbook"/>
  <mc:AlternateContent xmlns:mc="http://schemas.openxmlformats.org/markup-compatibility/2006">
    <mc:Choice Requires="x15">
      <x15ac:absPath xmlns:x15ac="http://schemas.microsoft.com/office/spreadsheetml/2010/11/ac" url="C:\Users\lecturer.STUDENT\Desktop\"/>
    </mc:Choice>
  </mc:AlternateContent>
  <xr:revisionPtr revIDLastSave="800" documentId="8_{3FEA108A-B524-451F-AEEE-28AC4D1EADBE}" xr6:coauthVersionLast="47" xr6:coauthVersionMax="47" xr10:uidLastSave="{C19DF7D3-FBD3-4E84-91B3-517811DCD72B}"/>
  <bookViews>
    <workbookView xWindow="0" yWindow="0" windowWidth="19200" windowHeight="8025" activeTab="1" xr2:uid="{00000000-000D-0000-FFFF-FFFF00000000}"/>
  </bookViews>
  <sheets>
    <sheet name="Ratios" sheetId="1" r:id="rId1"/>
    <sheet name="Summary Notes" sheetId="6" r:id="rId2"/>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4"/>
    </ext>
  </extLst>
</workbook>
</file>

<file path=xl/calcChain.xml><?xml version="1.0" encoding="utf-8"?>
<calcChain xmlns="http://schemas.openxmlformats.org/spreadsheetml/2006/main">
  <c r="G49" i="1" l="1"/>
  <c r="O21" i="1"/>
  <c r="O9" i="1"/>
  <c r="L5" i="1"/>
  <c r="G61" i="1"/>
  <c r="D5" i="1"/>
  <c r="D13" i="1"/>
  <c r="L13" i="1"/>
  <c r="D14" i="1"/>
  <c r="L14" i="1"/>
  <c r="D21" i="1"/>
  <c r="L21" i="1"/>
  <c r="D22" i="1"/>
  <c r="L22" i="1"/>
  <c r="E21" i="1"/>
  <c r="E13" i="1"/>
  <c r="M21" i="1"/>
  <c r="M13" i="1"/>
  <c r="O83" i="1"/>
  <c r="C7" i="6"/>
  <c r="B7" i="6"/>
  <c r="C5" i="6"/>
  <c r="B5" i="6"/>
  <c r="L10" i="1"/>
  <c r="O72" i="1"/>
  <c r="O71" i="1"/>
  <c r="O67" i="1"/>
  <c r="O61" i="1"/>
  <c r="O57" i="1"/>
  <c r="O42" i="1"/>
  <c r="O41" i="1"/>
  <c r="O37" i="1"/>
  <c r="O34" i="1"/>
  <c r="O33" i="1"/>
  <c r="G83" i="1"/>
  <c r="G72" i="1"/>
  <c r="G71" i="1"/>
  <c r="G67" i="1"/>
  <c r="G57" i="1"/>
  <c r="G42" i="1"/>
  <c r="G41" i="1"/>
  <c r="G37" i="1"/>
  <c r="G34" i="1"/>
  <c r="G33" i="1"/>
  <c r="G9" i="1"/>
  <c r="D72" i="1"/>
  <c r="D71" i="1"/>
  <c r="L71" i="1"/>
  <c r="L72" i="1"/>
  <c r="D76" i="1"/>
  <c r="L76" i="1"/>
  <c r="D79" i="1"/>
  <c r="D68" i="1"/>
  <c r="G80" i="1" s="1"/>
  <c r="B22" i="6" s="1"/>
  <c r="L79" i="1"/>
  <c r="L68" i="1"/>
  <c r="L84" i="1"/>
  <c r="L83" i="1"/>
  <c r="D89" i="1"/>
  <c r="D88" i="1"/>
  <c r="L88" i="1"/>
  <c r="L56" i="1"/>
  <c r="L57" i="1"/>
  <c r="D56" i="1"/>
  <c r="D57" i="1"/>
  <c r="L49" i="1"/>
  <c r="L48" i="1"/>
  <c r="D49" i="1"/>
  <c r="D48" i="1"/>
  <c r="L60" i="1"/>
  <c r="L61" i="1"/>
  <c r="D60" i="1"/>
  <c r="D61" i="1"/>
  <c r="D38" i="1"/>
  <c r="D37" i="1"/>
  <c r="L37" i="1"/>
  <c r="D34" i="1"/>
  <c r="L34" i="1"/>
  <c r="D9" i="1"/>
  <c r="D10" i="1"/>
  <c r="D6" i="1"/>
  <c r="L6" i="1"/>
  <c r="D29" i="1"/>
  <c r="D30" i="1"/>
  <c r="L29" i="1"/>
  <c r="L30" i="1"/>
  <c r="D17" i="1"/>
  <c r="D18" i="1"/>
  <c r="L17" i="1"/>
  <c r="L18" i="1"/>
  <c r="L41" i="1"/>
  <c r="L33" i="1"/>
  <c r="D83" i="1"/>
  <c r="D41" i="1"/>
  <c r="D42" i="1"/>
  <c r="D33" i="1"/>
  <c r="L9" i="1"/>
  <c r="M9" i="1"/>
  <c r="D67" i="1"/>
  <c r="L67" i="1"/>
  <c r="L89" i="1"/>
  <c r="L42" i="1"/>
  <c r="L38" i="1"/>
  <c r="C4" i="6"/>
  <c r="O80" i="1"/>
  <c r="C22" i="6"/>
  <c r="E33" i="1"/>
  <c r="M71" i="1"/>
  <c r="L75" i="1"/>
  <c r="M75" i="1"/>
  <c r="M48" i="1"/>
  <c r="C16" i="6"/>
  <c r="M37" i="1"/>
  <c r="E41" i="1"/>
  <c r="E29" i="1"/>
  <c r="E5" i="1"/>
  <c r="M60" i="1"/>
  <c r="M33" i="1"/>
  <c r="M5" i="1"/>
  <c r="M88" i="1"/>
  <c r="E48" i="1"/>
  <c r="E9" i="1"/>
  <c r="M17" i="1"/>
  <c r="E37" i="1"/>
  <c r="E17" i="1"/>
  <c r="M29" i="1"/>
  <c r="E60" i="1"/>
  <c r="M56" i="1"/>
  <c r="M83" i="1"/>
  <c r="E71" i="1"/>
  <c r="M41" i="1"/>
  <c r="E88" i="1"/>
  <c r="E56" i="1"/>
  <c r="D84" i="1"/>
  <c r="E83" i="1"/>
  <c r="C19" i="6"/>
  <c r="C18" i="6"/>
  <c r="C12" i="6"/>
  <c r="C10" i="6"/>
  <c r="C13" i="6"/>
  <c r="C24" i="6"/>
  <c r="C25" i="6"/>
  <c r="C11" i="6"/>
  <c r="C3" i="6"/>
  <c r="B19" i="6"/>
  <c r="B16" i="6"/>
  <c r="B18" i="6"/>
  <c r="B12" i="6"/>
  <c r="B10" i="6"/>
  <c r="B24" i="6"/>
  <c r="B25" i="6"/>
  <c r="B6" i="6"/>
  <c r="B13" i="6"/>
  <c r="B11" i="6"/>
  <c r="B4" i="6"/>
  <c r="B3" i="6"/>
  <c r="C6" i="6"/>
  <c r="D80" i="1"/>
  <c r="E79" i="1"/>
  <c r="O52" i="1"/>
  <c r="L53" i="1"/>
  <c r="M52" i="1"/>
  <c r="L80" i="1"/>
  <c r="M79" i="1"/>
  <c r="G52" i="1"/>
  <c r="D53" i="1"/>
  <c r="E52" i="1"/>
  <c r="D75" i="1"/>
  <c r="E75" i="1"/>
  <c r="C17" i="6"/>
  <c r="C23" i="6"/>
  <c r="B23" i="6"/>
  <c r="B1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Nitin Umesh Mysore</author>
  </authors>
  <commentList>
    <comment ref="G29" authorId="0" shapeId="0" xr:uid="{3182CA50-4C44-46EC-93C0-035B05B4FEF0}">
      <text>
        <r>
          <rPr>
            <sz val="10"/>
            <rFont val="Arial"/>
          </rPr>
          <t>Nitin Umesh Mysore:
Revenue - Cost of Revenue</t>
        </r>
      </text>
    </comment>
    <comment ref="E67" authorId="0" shapeId="0" xr:uid="{A551F0F5-D3B0-4702-A9D3-299C070D7F13}">
      <text>
        <r>
          <rPr>
            <sz val="10"/>
            <rFont val="Arial"/>
          </rPr>
          <t>Nitin Umesh Mysore:
Value provided in the Income Statement of IonQ
"Net loss per share attributable to IonQ, Inc. common stakeholders - basic and diluted"</t>
        </r>
      </text>
    </comment>
    <comment ref="G79" authorId="0" shapeId="0" xr:uid="{E0D59B68-940B-45E9-A25D-2DD9D08A12ED}">
      <text>
        <r>
          <rPr>
            <sz val="10"/>
            <rFont val="Arial"/>
          </rPr>
          <t>Nitin Umesh Mysore:
Closing Price End of 2025</t>
        </r>
      </text>
    </comment>
    <comment ref="O79" authorId="0" shapeId="0" xr:uid="{7F41ECC8-8010-4DEC-A21F-84AB631AC6AC}">
      <text>
        <r>
          <rPr>
            <sz val="10"/>
            <rFont val="Arial"/>
          </rPr>
          <t>Nitin Umesh Mysore:
Closing Price End of 2024</t>
        </r>
      </text>
    </comment>
    <comment ref="G84" authorId="0" shapeId="0" xr:uid="{D2C1D945-CD76-4143-9963-B825E2576D0B}">
      <text>
        <r>
          <rPr>
            <sz val="10"/>
            <rFont val="Arial"/>
          </rPr>
          <t>Nitin Umesh Mysore:
Additional paid-in capital</t>
        </r>
      </text>
    </comment>
    <comment ref="G85" authorId="0" shapeId="0" xr:uid="{13D6D890-4802-457F-B0E2-ED818D6E2949}">
      <text>
        <r>
          <rPr>
            <sz val="10"/>
            <rFont val="Arial"/>
          </rPr>
          <t>Nitin Umesh Mysore:
Accumulated Deficit</t>
        </r>
      </text>
    </comment>
    <comment ref="G88" authorId="0" shapeId="0" xr:uid="{F1182E82-4350-4FE2-82CF-236D6F49D0FA}">
      <text>
        <r>
          <rPr>
            <sz val="10"/>
            <rFont val="Arial"/>
          </rPr>
          <t xml:space="preserve">Nitin Umesh Mysore:
= - (Loss from Operations + Interest Income, net + Income Tax benefit (expense)
</t>
        </r>
      </text>
    </comment>
    <comment ref="G89" authorId="0" shapeId="0" xr:uid="{51EDEC85-CDA9-4D89-9604-E9C41965DD6D}">
      <text>
        <r>
          <rPr>
            <sz val="10"/>
            <rFont val="Arial"/>
          </rPr>
          <t>Nitin Umesh Mysore:
Total Assets - Current Liabilities</t>
        </r>
      </text>
    </comment>
  </commentList>
</comments>
</file>

<file path=xl/sharedStrings.xml><?xml version="1.0" encoding="utf-8"?>
<sst xmlns="http://schemas.openxmlformats.org/spreadsheetml/2006/main" count="243" uniqueCount="107">
  <si>
    <t>RATIO ANALYSIS SPREADSHEET (in thousands, except share and per share data)</t>
  </si>
  <si>
    <t>LIQUIDITY AND SOLVENCY RATIOS</t>
  </si>
  <si>
    <t>ENTER DATA IN YELLOW CELLS</t>
  </si>
  <si>
    <t>Current</t>
  </si>
  <si>
    <t>Current Assets</t>
  </si>
  <si>
    <t>Current Assets:</t>
  </si>
  <si>
    <t>Current Liabilities</t>
  </si>
  <si>
    <t>Current Liabilities:</t>
  </si>
  <si>
    <t>Quick</t>
  </si>
  <si>
    <t>Current Assets - Inventory</t>
  </si>
  <si>
    <t>Inventory:</t>
  </si>
  <si>
    <t>Gearing</t>
  </si>
  <si>
    <t>Long-Term Debt</t>
  </si>
  <si>
    <t>Long Term Debt:</t>
  </si>
  <si>
    <t>Long Term Debt</t>
  </si>
  <si>
    <t>Long-Term Debt:</t>
  </si>
  <si>
    <t>LT Debt + Equity</t>
  </si>
  <si>
    <t>Total Equity:</t>
  </si>
  <si>
    <t>Interest Cover</t>
  </si>
  <si>
    <t>Profit before Interest and Tax</t>
  </si>
  <si>
    <t>Profit before Int &amp; Tax:</t>
  </si>
  <si>
    <t>Profit before Interest andTax:</t>
  </si>
  <si>
    <t>Interest Payable</t>
  </si>
  <si>
    <t>Interest Paid and Payable:</t>
  </si>
  <si>
    <t>Interest Paid and Payable</t>
  </si>
  <si>
    <t>Interest Payable:</t>
  </si>
  <si>
    <t>Dividend Cover</t>
  </si>
  <si>
    <t>Profit After Tax</t>
  </si>
  <si>
    <t>Profit after Tax:</t>
  </si>
  <si>
    <t>Dividend Paid and Payable</t>
  </si>
  <si>
    <t>Dividend:</t>
  </si>
  <si>
    <t>PROFITABILITY RATIOS</t>
  </si>
  <si>
    <t>Gross Margin</t>
  </si>
  <si>
    <t>Gross Profit</t>
  </si>
  <si>
    <t>Sales</t>
  </si>
  <si>
    <t>Net Margin</t>
  </si>
  <si>
    <t>Net Profit Before Tax</t>
  </si>
  <si>
    <t>Profit before Tax:</t>
  </si>
  <si>
    <t>Sales-to-Assets</t>
  </si>
  <si>
    <t>Total Assets</t>
  </si>
  <si>
    <t>Return on Assets</t>
  </si>
  <si>
    <t>EFFICIENCY RATIOS</t>
  </si>
  <si>
    <t>Inventory Turnover</t>
  </si>
  <si>
    <t>Cost of Goods Sold</t>
  </si>
  <si>
    <t>Cost of Goods Sold:</t>
  </si>
  <si>
    <t>Cost of  Goods Sold:</t>
  </si>
  <si>
    <t>Inventory</t>
  </si>
  <si>
    <t>Inventory Days</t>
  </si>
  <si>
    <t>Inventory Turnover:</t>
  </si>
  <si>
    <t>Accounts Receivable Days</t>
  </si>
  <si>
    <t>Accounts Receivable x 365</t>
  </si>
  <si>
    <t>Accounts Receivable:</t>
  </si>
  <si>
    <t>Accounts Payable Days</t>
  </si>
  <si>
    <t>Accounts Payable x 365</t>
  </si>
  <si>
    <t>Accounts Payable:</t>
  </si>
  <si>
    <t>Cost of Sales</t>
  </si>
  <si>
    <t>Cost of Sale:</t>
  </si>
  <si>
    <t>INVESTMENT RATIOS</t>
  </si>
  <si>
    <t>Earnings Per Share</t>
  </si>
  <si>
    <t>Number Shares in Issue</t>
  </si>
  <si>
    <t>Number of Shares:</t>
  </si>
  <si>
    <t>Dividend Per Share</t>
  </si>
  <si>
    <t>Total Dividend</t>
  </si>
  <si>
    <t>Number of Shares in Issue</t>
  </si>
  <si>
    <t>Dividend Yield</t>
  </si>
  <si>
    <t>Share Price:</t>
  </si>
  <si>
    <t>Share Price</t>
  </si>
  <si>
    <t>Price / Earnings Ratio</t>
  </si>
  <si>
    <t>Earnings Per Share:</t>
  </si>
  <si>
    <t>Return on Equity</t>
  </si>
  <si>
    <t>Profit before Tax</t>
  </si>
  <si>
    <t>Share Capital + Retained Earnings</t>
  </si>
  <si>
    <t>Share Capital:</t>
  </si>
  <si>
    <r>
      <t>Equity</t>
    </r>
    <r>
      <rPr>
        <sz val="8"/>
        <rFont val="Arial"/>
        <family val="2"/>
      </rPr>
      <t xml:space="preserve"> (Share Capital + Retained Earnings)</t>
    </r>
  </si>
  <si>
    <t>Retained Earnings:</t>
  </si>
  <si>
    <t>Return on Capital Employed</t>
  </si>
  <si>
    <t>Profit before Int and Tax:</t>
  </si>
  <si>
    <t>Capital Employed</t>
  </si>
  <si>
    <t>Total Assets less Current Liab</t>
  </si>
  <si>
    <t>RATIOS</t>
  </si>
  <si>
    <t>Analysis</t>
  </si>
  <si>
    <t>Notes/Comments</t>
  </si>
  <si>
    <t>LIQUIDITY AND SOLVENCY RATIOS - ability to pay its short term debts</t>
  </si>
  <si>
    <r>
      <rPr>
        <sz val="10"/>
        <color rgb="FF000000"/>
        <rFont val="Arial"/>
      </rPr>
      <t xml:space="preserve">1. Capital Raise in Oct 2025 where IONQ closed a $2 Billion equity offering. This created a spike in Cash and Cash equivalents and Short-Term Investments. By end of Q3 2025, their total liquidity position (cash + investments) reached approx $1.485 Billion (compared to $363.8 Million at end of 2024).
2. During 2025, IONQ acquired Oxford Ionics and Vector Atomic, and announced intent to acquire SkyWater. The strategy was to fund their quantum goals without taking on high-interest long-term debt thereby maintaining a high balance of short-term investments.
3. While IonQ’s Current Liabilities did grow (from $36.1 Million to $166.9 Million) as they scaled their manufacturing facilities and headcount, they did not grow at the same pace as their cash reserves (from $378.8 Million to $2.59 Billion).
</t>
    </r>
    <r>
      <rPr>
        <b/>
        <sz val="10"/>
        <color rgb="FF000000"/>
        <rFont val="Arial"/>
      </rPr>
      <t>Overall, the ratio did not go up because they paid off debt, but it grew mostly because of raising a massive amount of cash to fund the company.</t>
    </r>
  </si>
  <si>
    <t xml:space="preserve">Heights Capital Management, Inc. invested $2B in IONQ, in return they got common stock, pre-funded and long-term warrants. Common stock at $93, pre-funded and long-term warrants at $155, which is above base price showing that investor is confident with IONQ. The deal was struck by JP Morgan in Oct 9 2025.
https://www.ionq.com/news/ionq-announces-pricing-of-usd2-0-billion-equity-offering
https://www.ionq.com/news/ionq-announces-intent-to-acquire-vector-atomic-expanding-into-quantum
https://www.ionq.com/news/ionq-to-acquire-skywater-technology-creating-the-only-vertically-integrated-full-stack-quantum-platform-company
</t>
  </si>
  <si>
    <t>Best to NOT include in the analysis or presentation part.</t>
  </si>
  <si>
    <t>There are no long term debt as such according to the financial statement verified by Gemini. It said, if it really wanted to include 'long-term debt" like term, then it asked me to use "Operating lease liabilities, net of current portion"</t>
  </si>
  <si>
    <r>
      <rPr>
        <sz val="10"/>
        <color rgb="FF000000"/>
        <rFont val="Arial"/>
      </rPr>
      <t xml:space="preserve">1. The shift from -14.15 to-7.06 means gap between operating losses and interest obligations is narrowing. Thus, </t>
    </r>
    <r>
      <rPr>
        <b/>
        <sz val="10"/>
        <color rgb="FF000000"/>
        <rFont val="Arial"/>
      </rPr>
      <t xml:space="preserve">the company is becoming more efficient in its losses, it is most likely due to revenue scaling faster than operating expenses.
</t>
    </r>
    <r>
      <rPr>
        <sz val="10"/>
        <color rgb="FF000000"/>
        <rFont val="Arial"/>
      </rPr>
      <t xml:space="preserve">2. </t>
    </r>
    <r>
      <rPr>
        <b/>
        <sz val="10"/>
        <color rgb="FF000000"/>
        <rFont val="Arial"/>
      </rPr>
      <t>IONQ prioritise R&amp;D over immediate profitability</t>
    </r>
    <r>
      <rPr>
        <sz val="10"/>
        <color rgb="FF000000"/>
        <rFont val="Arial"/>
      </rPr>
      <t>. Also R&amp;D remain the highest contributor to negative EBIT as they are developing Tempo and Barium systems.
3. Even though operating profit can’t cover interest, the cash reserves (cash and cash equivalents) can do it thousand times over.</t>
    </r>
  </si>
  <si>
    <t>https://finance.yahoo.com/news/ionqs-quantum-roadmap-foundry-strategy-162400233.html</t>
  </si>
  <si>
    <t>Company does not provide dividends.</t>
  </si>
  <si>
    <t>PROFITABILITY RATIOS - ability of a company to generate income (profit)</t>
  </si>
  <si>
    <t>Cost of producing revenue is rising faster than the revenue itself.
1. Shift from service (QCaaS) to hardware sales (like Forte or Tempo) in 2025
2. IonQ may have invested in new production facilities in 2025 (moving from R&amp;D or prototyping to production stage), which means depreciation and labour costs of these facilities are factored in gross margin.
3. Price of specialised chips, cryogenics, or rare-earth materials increased in 2025 OR IonQ may had to pay premiums to secure supply chain.
4. To gain market share and get their systems into the hands of national labs or big corporations, IonQ may be lowering sales price of a system while production costs remain high. They intentionally sacrifice short-term margin (dropping to 40%) to lock-in long-term customers and ecosystem dominance.</t>
  </si>
  <si>
    <t>https://quantumcomputingreport.com/ionq-reports-fourth-quarter-and-full-year-2025-financial-results-first-quantum-company-to-surpass-100m-annual-revenue/</t>
  </si>
  <si>
    <r>
      <rPr>
        <b/>
        <sz val="10"/>
        <color rgb="FF000000"/>
        <rFont val="Arial"/>
      </rPr>
      <t xml:space="preserve">The move from -540% to -487% indicates that IonQ revenue is growing faster than its losses.
</t>
    </r>
    <r>
      <rPr>
        <sz val="10"/>
        <color rgb="FF000000"/>
        <rFont val="Arial"/>
      </rPr>
      <t xml:space="preserve">- The </t>
    </r>
    <r>
      <rPr>
        <b/>
        <sz val="10"/>
        <color rgb="FF000000"/>
        <rFont val="Arial"/>
      </rPr>
      <t>revenue tripled from $43M to $130M</t>
    </r>
    <r>
      <rPr>
        <sz val="10"/>
        <color rgb="FF000000"/>
        <rFont val="Arial"/>
      </rPr>
      <t xml:space="preserve"> which shows that although company is still losing money, every new dollar of revenue is starting to cover a slightly larger portion of the fixed over head costs.
- The margin remains largely negative because IonQ is no longer just R&amp;D, it is building a global supply chain (</t>
    </r>
    <r>
      <rPr>
        <b/>
        <sz val="10"/>
        <color rgb="FF000000"/>
        <rFont val="Arial"/>
      </rPr>
      <t>60% of revenue comes from commercial customers rather than government grants</t>
    </r>
    <r>
      <rPr>
        <sz val="10"/>
        <color rgb="FF000000"/>
        <rFont val="Arial"/>
      </rPr>
      <t xml:space="preserve">). Also, the operating costs increased in 2025 due to SkyWater and Oxford Ionics acquisition.
- Major reason being </t>
    </r>
    <r>
      <rPr>
        <b/>
        <sz val="10"/>
        <color rgb="FF000000"/>
        <rFont val="Arial"/>
      </rPr>
      <t>Fair Value of Warrant Liabilities</t>
    </r>
    <r>
      <rPr>
        <sz val="10"/>
        <color rgb="FF000000"/>
        <rFont val="Arial"/>
      </rPr>
      <t>, as IonQ’s stock price rose in 2025, accounting rules forced them to record a “loss” on the warrants they issued to early investors (Heights Capital Management, Inc.). This is a “paper loss” that doesn’t affect their cash bank account but makes the Net Margin look significantly worse.</t>
    </r>
  </si>
  <si>
    <t>Sales-to-Assets ratio dipped because Total Assets surged over $6.5B following major acquisitions in 2025. Thus, assets grew much faster than Sales.
- In 2025, IonQ raised capital, ending the year with $3.3B in cash and cash equivalents and short-term investments. As cash is an asset and doesn’t generate sales immediately, it caused the ratio to go from 8% to 2%. When IonQ acquired the companies listed above, they added massive amounts of Goodwill, Intangible Assets, and Property &amp; Equipment.
- In 2024, IonQ mainly focused on R&amp;D and cloud access. Now they have become a hardware manufacturer, which means they require expensive factories and equipment to generate the same dollar of sales (Full-Stack Model).
Overall, this ratio should not be seen as poor performance, but it should be looked at as a “delayed reaction”.</t>
  </si>
  <si>
    <t>The most significant reason that RoA improved drastically is that Total Assets grew by over 1100% (from $508M to $6.5B)
- Revenue tripled to $130M in 2025
- Acquisitions added tangible manufacturing assets to the balance sheet
- Shift from R&amp;D to industrial leader in QC</t>
  </si>
  <si>
    <t>https://www.businesswire.com/news/home/20260225290197/en/IonQ-Announces-Fourth-Quarter-and-Full-Year-2025-Financial-Results</t>
  </si>
  <si>
    <t>EFFICIENCY RATIOS - company’s ability to effectively employ its resources</t>
  </si>
  <si>
    <t>No Inventory</t>
  </si>
  <si>
    <t>Account Receivable Days</t>
  </si>
  <si>
    <t>Accounts Receivable Days from 86 to 187 days typically is a “red flag” for a mature company, but for IonQ in 2025 it reflects a change in customer base. In 2024, IonQ mostly dealt with government grants and cloud providers who pay quickly. In 2025, 60% of revenue came from commercial customers and international sales. Here, large corporations and government entities often have long payment cycles, and the jump suggests IonQ is shipping complex physical systems where the final payment is made only after a lengthy installation and testing period.
Increase in Accounts Payable Days (from 93 to 123 days) is generally a good sign for cash flow, it means the company is keeping its cash longer before paying suppliers. Following acquisitions and growth of their $3.3B in cash war chest, IonQ now has significantly more bargaining power. By taking 123 days to pay instead of 93, they are effectively using their suppliers as a source of “interest-free” short-term financing to fund their rapid expansion.
When AR days (187) is greater than AP days (123), it has a cash gap (of 64 days). It means IonQ is waiting 64 days longer to get paid by customers than it takes to pay its own bills. This can lead to “liquidity crunch” if a company doesn’t have enough cash. But this is not the case as they hold $3.3B in cash, thus they can afford to wait 187 days for a customer check.</t>
  </si>
  <si>
    <t>Account Payable Days</t>
  </si>
  <si>
    <t>INVESTMENT RATIOS - help potential investors to decide whether to buy shares of the company or not</t>
  </si>
  <si>
    <t>Price/Earnings Ratio</t>
  </si>
  <si>
    <t>Below links recommend buying IONQ stocks</t>
  </si>
  <si>
    <t>https://www.fool.com/investing/2026/03/29/prediction-these-2-quantum-computing-stocks-will-s/</t>
  </si>
  <si>
    <t>https://www.fool.com/investing/2026/03/29/1-unstoppable-quantum-computing-stock-to-buy-befor/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</si>
</sst>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quot;€&quot;#,##0.00"/>
    <numFmt numFmtId="165" formatCode="&quot;€&quot;#,##0"/>
    <numFmt numFmtId="166" formatCode="0.000"/>
    <numFmt numFmtId="167" formatCode="0.0\ &quot;days&quot;"/>
    <numFmt numFmtId="168" formatCode="0.00&quot; : 1&quot;"/>
    <numFmt numFmtId="169" formatCode="0.00&quot; days&quot;"/>
    <numFmt numFmtId="170" formatCode="0.00&quot; times&quot;"/>
    <numFmt numFmtId="171" formatCode="&quot;€&quot;#,##0.000"/>
    <numFmt numFmtId="172" formatCode="_([$$-409]* #,##0.00_);_([$$-409]* \(#,##0.00\);_([$$-409]* &quot;-&quot;??_);_(@_)"/>
  </numFmts>
  <fonts count="15">
    <font>
      <sz val="10"/>
      <name val="Arial"/>
    </font>
    <font>
      <sz val="10"/>
      <name val="Arial"/>
      <family val="2"/>
    </font>
    <font>
      <u/>
      <sz val="10"/>
      <name val="Arial"/>
      <family val="2"/>
    </font>
    <font>
      <b/>
      <sz val="10"/>
      <name val="Arial"/>
      <family val="2"/>
    </font>
    <font>
      <sz val="8"/>
      <name val="Arial"/>
      <family val="2"/>
    </font>
    <font>
      <sz val="16"/>
      <name val="Arial"/>
      <family val="2"/>
    </font>
    <font>
      <b/>
      <sz val="11"/>
      <name val="Arial"/>
      <family val="2"/>
    </font>
    <font>
      <i/>
      <sz val="10"/>
      <name val="Arial"/>
      <family val="2"/>
    </font>
    <font>
      <b/>
      <sz val="16"/>
      <name val="Arial"/>
      <family val="2"/>
    </font>
    <font>
      <b/>
      <sz val="18"/>
      <name val="Arial"/>
      <family val="2"/>
    </font>
    <font>
      <b/>
      <sz val="10"/>
      <name val="Arial"/>
    </font>
    <font>
      <b/>
      <i/>
      <sz val="10"/>
      <name val="Arial"/>
    </font>
    <font>
      <u/>
      <sz val="10"/>
      <color theme="10"/>
      <name val="Arial"/>
    </font>
    <font>
      <sz val="10"/>
      <color rgb="FF000000"/>
      <name val="Arial"/>
    </font>
    <font>
      <b/>
      <sz val="10"/>
      <color rgb="FF000000"/>
      <name val="Arial"/>
    </font>
  </fonts>
  <fills count="12">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ck">
        <color indexed="64"/>
      </left>
      <right/>
      <top/>
      <bottom/>
      <diagonal/>
    </border>
    <border>
      <left style="thick">
        <color indexed="64"/>
      </left>
      <right/>
      <top/>
      <bottom style="thin">
        <color indexed="64"/>
      </bottom>
      <diagonal/>
    </border>
    <border>
      <left/>
      <right/>
      <top/>
      <bottom style="thick">
        <color auto="1"/>
      </bottom>
      <diagonal/>
    </border>
    <border>
      <left style="thick">
        <color indexed="64"/>
      </left>
      <right/>
      <top/>
      <bottom style="thick">
        <color auto="1"/>
      </bottom>
      <diagonal/>
    </border>
    <border>
      <left/>
      <right style="thick">
        <color indexed="64"/>
      </right>
      <top/>
      <bottom/>
      <diagonal/>
    </border>
    <border>
      <left/>
      <right style="thick">
        <color indexed="64"/>
      </right>
      <top/>
      <bottom style="thin">
        <color auto="1"/>
      </bottom>
      <diagonal/>
    </border>
    <border>
      <left/>
      <right style="thick">
        <color indexed="64"/>
      </right>
      <top/>
      <bottom style="thick">
        <color auto="1"/>
      </bottom>
      <diagonal/>
    </border>
    <border>
      <left style="thick">
        <color auto="1"/>
      </left>
      <right/>
      <top style="thick">
        <color auto="1"/>
      </top>
      <bottom/>
      <diagonal/>
    </border>
    <border>
      <left/>
      <right style="thick">
        <color auto="1"/>
      </right>
      <top style="thick">
        <color auto="1"/>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cellStyleXfs>
  <cellXfs count="156">
    <xf numFmtId="0" fontId="0" fillId="0" borderId="0" xfId="0"/>
    <xf numFmtId="0" fontId="3" fillId="0" borderId="0" xfId="0" applyFont="1"/>
    <xf numFmtId="0" fontId="5" fillId="0" borderId="0" xfId="0" applyFont="1"/>
    <xf numFmtId="0" fontId="8" fillId="0" borderId="0" xfId="0" applyFont="1"/>
    <xf numFmtId="0" fontId="6" fillId="2" borderId="0" xfId="0" applyFont="1" applyFill="1"/>
    <xf numFmtId="0" fontId="0" fillId="2" borderId="0" xfId="0" applyFill="1"/>
    <xf numFmtId="0" fontId="7" fillId="2" borderId="0" xfId="0" applyFont="1" applyFill="1"/>
    <xf numFmtId="165" fontId="0" fillId="2" borderId="0" xfId="0" applyNumberFormat="1" applyFill="1"/>
    <xf numFmtId="0" fontId="0" fillId="2" borderId="0" xfId="0" applyFill="1" applyAlignment="1">
      <alignment horizontal="center"/>
    </xf>
    <xf numFmtId="165" fontId="0" fillId="2" borderId="0" xfId="2" applyNumberFormat="1" applyFont="1" applyFill="1" applyAlignment="1">
      <alignment horizontal="center"/>
    </xf>
    <xf numFmtId="2" fontId="3" fillId="2" borderId="0" xfId="0" applyNumberFormat="1" applyFont="1" applyFill="1" applyAlignment="1">
      <alignment horizontal="center" vertical="center"/>
    </xf>
    <xf numFmtId="165" fontId="0" fillId="2" borderId="0" xfId="0" applyNumberFormat="1" applyFill="1" applyAlignment="1">
      <alignment horizontal="center"/>
    </xf>
    <xf numFmtId="0" fontId="0" fillId="2" borderId="1" xfId="0" applyFill="1" applyBorder="1" applyAlignment="1">
      <alignment horizontal="center"/>
    </xf>
    <xf numFmtId="165" fontId="2" fillId="2" borderId="0" xfId="0" applyNumberFormat="1" applyFont="1" applyFill="1"/>
    <xf numFmtId="0" fontId="0" fillId="2" borderId="1" xfId="0" applyFill="1" applyBorder="1" applyAlignment="1">
      <alignment horizontal="center" vertical="top"/>
    </xf>
    <xf numFmtId="165" fontId="0" fillId="2" borderId="1" xfId="0" applyNumberFormat="1" applyFill="1" applyBorder="1" applyAlignment="1">
      <alignment horizontal="center" vertical="top"/>
    </xf>
    <xf numFmtId="0" fontId="0" fillId="2" borderId="0" xfId="0" applyFill="1" applyAlignment="1">
      <alignment horizontal="center" vertical="top"/>
    </xf>
    <xf numFmtId="165" fontId="0" fillId="2" borderId="0" xfId="2" applyNumberFormat="1" applyFont="1" applyFill="1"/>
    <xf numFmtId="166" fontId="3" fillId="2" borderId="0" xfId="0" applyNumberFormat="1" applyFont="1" applyFill="1" applyAlignment="1">
      <alignment horizontal="center" vertical="center"/>
    </xf>
    <xf numFmtId="165" fontId="0" fillId="2" borderId="0" xfId="2" applyNumberFormat="1" applyFont="1" applyFill="1" applyAlignment="1">
      <alignment horizontal="center" vertical="top"/>
    </xf>
    <xf numFmtId="164" fontId="0" fillId="2" borderId="0" xfId="2" applyNumberFormat="1" applyFont="1" applyFill="1" applyAlignment="1">
      <alignment horizontal="center" vertical="top"/>
    </xf>
    <xf numFmtId="164" fontId="0" fillId="2" borderId="1" xfId="2" applyNumberFormat="1" applyFont="1" applyFill="1" applyBorder="1" applyAlignment="1">
      <alignment horizontal="center" vertical="top"/>
    </xf>
    <xf numFmtId="1" fontId="0" fillId="2" borderId="1" xfId="1" applyNumberFormat="1" applyFont="1" applyFill="1" applyBorder="1" applyAlignment="1">
      <alignment horizontal="center" vertical="top"/>
    </xf>
    <xf numFmtId="166" fontId="0" fillId="2" borderId="0" xfId="0" applyNumberFormat="1" applyFill="1"/>
    <xf numFmtId="2" fontId="0" fillId="2" borderId="0" xfId="2" applyNumberFormat="1" applyFont="1" applyFill="1" applyAlignment="1">
      <alignment horizontal="center" vertical="top"/>
    </xf>
    <xf numFmtId="164" fontId="0" fillId="2" borderId="1" xfId="0" applyNumberFormat="1" applyFill="1" applyBorder="1" applyAlignment="1">
      <alignment horizontal="center" vertical="top"/>
    </xf>
    <xf numFmtId="164" fontId="0" fillId="2" borderId="0" xfId="0" applyNumberFormat="1" applyFill="1" applyAlignment="1">
      <alignment horizontal="center" vertical="top"/>
    </xf>
    <xf numFmtId="0" fontId="6" fillId="3" borderId="0" xfId="0" applyFont="1" applyFill="1"/>
    <xf numFmtId="0" fontId="0" fillId="3" borderId="0" xfId="0" applyFill="1"/>
    <xf numFmtId="0" fontId="3" fillId="3" borderId="0" xfId="0" applyFont="1" applyFill="1"/>
    <xf numFmtId="0" fontId="7" fillId="3" borderId="0" xfId="0" applyFont="1" applyFill="1"/>
    <xf numFmtId="0" fontId="1" fillId="3" borderId="1" xfId="0" applyFont="1" applyFill="1" applyBorder="1" applyAlignment="1">
      <alignment horizontal="center"/>
    </xf>
    <xf numFmtId="165" fontId="0" fillId="3" borderId="0" xfId="0" applyNumberFormat="1" applyFill="1"/>
    <xf numFmtId="0" fontId="0" fillId="3" borderId="0" xfId="0" applyFill="1" applyAlignment="1">
      <alignment horizontal="center"/>
    </xf>
    <xf numFmtId="165" fontId="0" fillId="3" borderId="0" xfId="2" applyNumberFormat="1" applyFont="1" applyFill="1" applyAlignment="1">
      <alignment horizontal="center"/>
    </xf>
    <xf numFmtId="2" fontId="3" fillId="3" borderId="0" xfId="0" applyNumberFormat="1" applyFont="1" applyFill="1" applyAlignment="1">
      <alignment horizontal="center" vertical="center"/>
    </xf>
    <xf numFmtId="165" fontId="0" fillId="3" borderId="0" xfId="0" applyNumberFormat="1" applyFill="1" applyAlignment="1">
      <alignment horizontal="center"/>
    </xf>
    <xf numFmtId="0" fontId="0" fillId="3" borderId="1" xfId="0" applyFill="1" applyBorder="1" applyAlignment="1">
      <alignment horizontal="center"/>
    </xf>
    <xf numFmtId="165" fontId="2" fillId="3" borderId="0" xfId="0" applyNumberFormat="1" applyFont="1" applyFill="1"/>
    <xf numFmtId="0" fontId="0" fillId="3" borderId="1" xfId="0" applyFill="1" applyBorder="1" applyAlignment="1">
      <alignment horizontal="center" vertical="top"/>
    </xf>
    <xf numFmtId="165" fontId="0" fillId="3" borderId="1" xfId="0" applyNumberFormat="1" applyFill="1" applyBorder="1" applyAlignment="1">
      <alignment horizontal="center" vertical="top"/>
    </xf>
    <xf numFmtId="0" fontId="0" fillId="3" borderId="0" xfId="0" applyFill="1" applyAlignment="1">
      <alignment horizontal="center" vertical="top"/>
    </xf>
    <xf numFmtId="165" fontId="0" fillId="3" borderId="0" xfId="2" applyNumberFormat="1" applyFont="1" applyFill="1"/>
    <xf numFmtId="166" fontId="3" fillId="3" borderId="0" xfId="0" applyNumberFormat="1" applyFont="1" applyFill="1" applyAlignment="1">
      <alignment horizontal="center" vertical="center"/>
    </xf>
    <xf numFmtId="164" fontId="0" fillId="3" borderId="0" xfId="2" applyNumberFormat="1" applyFont="1" applyFill="1" applyAlignment="1">
      <alignment horizontal="center" vertical="top"/>
    </xf>
    <xf numFmtId="164" fontId="0" fillId="3" borderId="1" xfId="2" applyNumberFormat="1" applyFont="1" applyFill="1" applyBorder="1" applyAlignment="1">
      <alignment horizontal="center" vertical="top"/>
    </xf>
    <xf numFmtId="1" fontId="0" fillId="3" borderId="1" xfId="1" applyNumberFormat="1" applyFont="1" applyFill="1" applyBorder="1" applyAlignment="1">
      <alignment horizontal="center" vertical="top"/>
    </xf>
    <xf numFmtId="166" fontId="0" fillId="3" borderId="0" xfId="0" applyNumberFormat="1" applyFill="1"/>
    <xf numFmtId="2" fontId="0" fillId="3" borderId="0" xfId="2" applyNumberFormat="1" applyFont="1" applyFill="1" applyAlignment="1">
      <alignment horizontal="center" vertical="top"/>
    </xf>
    <xf numFmtId="164" fontId="0" fillId="3" borderId="1" xfId="0" applyNumberFormat="1" applyFill="1" applyBorder="1" applyAlignment="1">
      <alignment horizontal="center" vertical="top"/>
    </xf>
    <xf numFmtId="164" fontId="0" fillId="3" borderId="0" xfId="0" applyNumberFormat="1" applyFill="1" applyAlignment="1">
      <alignment horizontal="center" vertical="top"/>
    </xf>
    <xf numFmtId="0" fontId="3" fillId="3" borderId="0" xfId="0" applyFont="1" applyFill="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xf>
    <xf numFmtId="0" fontId="1" fillId="3" borderId="0" xfId="0" applyFont="1" applyFill="1" applyAlignment="1">
      <alignment horizontal="center"/>
    </xf>
    <xf numFmtId="0" fontId="3" fillId="5" borderId="2" xfId="0" applyFont="1" applyFill="1" applyBorder="1"/>
    <xf numFmtId="0" fontId="3" fillId="5" borderId="2" xfId="0" applyFont="1" applyFill="1" applyBorder="1" applyAlignment="1">
      <alignment horizontal="right"/>
    </xf>
    <xf numFmtId="0" fontId="0" fillId="2" borderId="1" xfId="0" applyFill="1" applyBorder="1"/>
    <xf numFmtId="0" fontId="3" fillId="5" borderId="3" xfId="0" applyFont="1" applyFill="1" applyBorder="1" applyAlignment="1">
      <alignment horizontal="right"/>
    </xf>
    <xf numFmtId="0" fontId="0" fillId="0" borderId="1" xfId="0" applyBorder="1"/>
    <xf numFmtId="0" fontId="0" fillId="3" borderId="1" xfId="0" applyFill="1" applyBorder="1"/>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2" borderId="4" xfId="0" applyFill="1" applyBorder="1"/>
    <xf numFmtId="0" fontId="0" fillId="2" borderId="4" xfId="0" applyFill="1" applyBorder="1" applyAlignment="1">
      <alignment horizontal="center" vertical="top"/>
    </xf>
    <xf numFmtId="0" fontId="3" fillId="5" borderId="5" xfId="0" applyFont="1" applyFill="1" applyBorder="1" applyAlignment="1">
      <alignment horizontal="right"/>
    </xf>
    <xf numFmtId="0" fontId="0" fillId="0" borderId="4" xfId="0" applyBorder="1"/>
    <xf numFmtId="0" fontId="0" fillId="3" borderId="4" xfId="0" applyFill="1" applyBorder="1"/>
    <xf numFmtId="0" fontId="0" fillId="3" borderId="4" xfId="0" applyFill="1" applyBorder="1" applyAlignment="1">
      <alignment horizontal="center" vertical="top"/>
    </xf>
    <xf numFmtId="0" fontId="3" fillId="6" borderId="2" xfId="0" applyFont="1" applyFill="1" applyBorder="1" applyAlignment="1">
      <alignment horizontal="right"/>
    </xf>
    <xf numFmtId="0" fontId="3" fillId="6" borderId="3" xfId="0" applyFont="1" applyFill="1" applyBorder="1" applyAlignment="1">
      <alignment horizontal="right"/>
    </xf>
    <xf numFmtId="0" fontId="3" fillId="6" borderId="5" xfId="0" applyFont="1" applyFill="1" applyBorder="1" applyAlignment="1">
      <alignment horizontal="right"/>
    </xf>
    <xf numFmtId="165" fontId="0" fillId="6" borderId="6" xfId="0" applyNumberFormat="1" applyFill="1" applyBorder="1"/>
    <xf numFmtId="0" fontId="0" fillId="6" borderId="6" xfId="0" applyFill="1" applyBorder="1"/>
    <xf numFmtId="0" fontId="0" fillId="6" borderId="7" xfId="0" applyFill="1" applyBorder="1"/>
    <xf numFmtId="166" fontId="0" fillId="6" borderId="6" xfId="0" applyNumberFormat="1" applyFill="1" applyBorder="1"/>
    <xf numFmtId="1" fontId="0" fillId="4" borderId="6" xfId="0" applyNumberFormat="1" applyFill="1" applyBorder="1"/>
    <xf numFmtId="1" fontId="0" fillId="6" borderId="6" xfId="0" applyNumberFormat="1" applyFill="1" applyBorder="1"/>
    <xf numFmtId="164" fontId="0" fillId="4" borderId="6" xfId="0" applyNumberFormat="1" applyFill="1" applyBorder="1"/>
    <xf numFmtId="0" fontId="0" fillId="5" borderId="6" xfId="0" applyFill="1" applyBorder="1"/>
    <xf numFmtId="165" fontId="0" fillId="5" borderId="6" xfId="0" applyNumberFormat="1" applyFill="1" applyBorder="1"/>
    <xf numFmtId="0" fontId="0" fillId="5" borderId="7" xfId="0" applyFill="1" applyBorder="1"/>
    <xf numFmtId="166" fontId="0" fillId="5" borderId="6" xfId="0" applyNumberFormat="1" applyFill="1" applyBorder="1"/>
    <xf numFmtId="1" fontId="0" fillId="5" borderId="6" xfId="0" applyNumberFormat="1" applyFill="1" applyBorder="1"/>
    <xf numFmtId="0" fontId="1" fillId="3" borderId="0" xfId="0" applyFont="1" applyFill="1" applyAlignment="1">
      <alignment horizontal="center" vertical="top"/>
    </xf>
    <xf numFmtId="172" fontId="0" fillId="4" borderId="6" xfId="0" applyNumberFormat="1" applyFill="1" applyBorder="1"/>
    <xf numFmtId="172" fontId="0" fillId="2" borderId="1" xfId="2" applyNumberFormat="1" applyFont="1" applyFill="1" applyBorder="1" applyAlignment="1">
      <alignment horizontal="center"/>
    </xf>
    <xf numFmtId="172" fontId="0" fillId="2" borderId="0" xfId="2" applyNumberFormat="1" applyFont="1" applyFill="1" applyAlignment="1">
      <alignment horizontal="center"/>
    </xf>
    <xf numFmtId="172" fontId="0" fillId="5" borderId="6" xfId="0" applyNumberFormat="1" applyFill="1" applyBorder="1"/>
    <xf numFmtId="172" fontId="0" fillId="2" borderId="1" xfId="0" applyNumberFormat="1" applyFill="1" applyBorder="1" applyAlignment="1">
      <alignment horizontal="center" vertical="top"/>
    </xf>
    <xf numFmtId="172" fontId="0" fillId="2" borderId="0" xfId="0" applyNumberFormat="1" applyFill="1" applyAlignment="1">
      <alignment horizontal="center" vertical="top"/>
    </xf>
    <xf numFmtId="172" fontId="0" fillId="2" borderId="1" xfId="2" applyNumberFormat="1" applyFont="1" applyFill="1" applyBorder="1" applyAlignment="1">
      <alignment horizontal="center" vertical="top"/>
    </xf>
    <xf numFmtId="172" fontId="0" fillId="2" borderId="0" xfId="2" applyNumberFormat="1" applyFont="1" applyFill="1" applyAlignment="1">
      <alignment horizontal="center" vertical="top"/>
    </xf>
    <xf numFmtId="172" fontId="0" fillId="2" borderId="4" xfId="0" applyNumberFormat="1" applyFill="1" applyBorder="1" applyAlignment="1">
      <alignment horizontal="center" vertical="top"/>
    </xf>
    <xf numFmtId="172" fontId="0" fillId="4" borderId="8" xfId="0" applyNumberFormat="1" applyFill="1" applyBorder="1"/>
    <xf numFmtId="172" fontId="0" fillId="3" borderId="1" xfId="2" applyNumberFormat="1" applyFont="1" applyFill="1" applyBorder="1" applyAlignment="1">
      <alignment horizontal="center"/>
    </xf>
    <xf numFmtId="172" fontId="0" fillId="3" borderId="0" xfId="2" applyNumberFormat="1" applyFont="1" applyFill="1" applyAlignment="1">
      <alignment horizontal="center"/>
    </xf>
    <xf numFmtId="172" fontId="0" fillId="6" borderId="6" xfId="0" applyNumberFormat="1" applyFill="1" applyBorder="1"/>
    <xf numFmtId="172" fontId="0" fillId="3" borderId="1" xfId="0" applyNumberFormat="1" applyFill="1" applyBorder="1" applyAlignment="1">
      <alignment horizontal="center" vertical="top"/>
    </xf>
    <xf numFmtId="172" fontId="0" fillId="3" borderId="0" xfId="0" applyNumberFormat="1" applyFill="1" applyAlignment="1">
      <alignment horizontal="center" vertical="top"/>
    </xf>
    <xf numFmtId="172" fontId="0" fillId="3" borderId="1" xfId="2" applyNumberFormat="1" applyFont="1" applyFill="1" applyBorder="1" applyAlignment="1">
      <alignment horizontal="center" vertical="top"/>
    </xf>
    <xf numFmtId="172" fontId="0" fillId="3" borderId="0" xfId="2" applyNumberFormat="1" applyFont="1" applyFill="1" applyAlignment="1">
      <alignment horizontal="center" vertical="top"/>
    </xf>
    <xf numFmtId="172" fontId="0" fillId="3" borderId="4" xfId="0" applyNumberFormat="1" applyFill="1" applyBorder="1" applyAlignment="1">
      <alignment horizontal="center" vertical="top"/>
    </xf>
    <xf numFmtId="0" fontId="0" fillId="4" borderId="6" xfId="0" applyFill="1" applyBorder="1"/>
    <xf numFmtId="0" fontId="10" fillId="7" borderId="0" xfId="0" applyFont="1" applyFill="1"/>
    <xf numFmtId="0" fontId="11" fillId="7" borderId="0" xfId="0" applyFont="1" applyFill="1"/>
    <xf numFmtId="0" fontId="10" fillId="7" borderId="0" xfId="0" applyFont="1" applyFill="1" applyAlignment="1">
      <alignment horizontal="center" vertical="center"/>
    </xf>
    <xf numFmtId="0" fontId="0" fillId="0" borderId="0" xfId="0" applyAlignment="1">
      <alignment horizontal="left" vertical="top" wrapText="1"/>
    </xf>
    <xf numFmtId="2" fontId="0" fillId="0" borderId="0" xfId="0" applyNumberFormat="1" applyAlignment="1">
      <alignment horizontal="center" vertical="center"/>
    </xf>
    <xf numFmtId="9" fontId="0" fillId="0" borderId="0" xfId="0" applyNumberFormat="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wrapText="1"/>
    </xf>
    <xf numFmtId="0" fontId="12" fillId="0" borderId="0" xfId="4"/>
    <xf numFmtId="0" fontId="12" fillId="0" borderId="0" xfId="4" applyAlignment="1">
      <alignment wrapText="1"/>
    </xf>
    <xf numFmtId="0" fontId="12" fillId="0" borderId="0" xfId="4" applyAlignment="1">
      <alignment horizontal="left" vertical="top" wrapText="1"/>
    </xf>
    <xf numFmtId="0" fontId="13" fillId="0" borderId="0" xfId="0" applyFont="1" applyAlignment="1">
      <alignment horizontal="left" vertical="top" wrapText="1"/>
    </xf>
    <xf numFmtId="0" fontId="0" fillId="9" borderId="0" xfId="0" applyFill="1" applyAlignment="1">
      <alignment horizontal="left" vertical="top"/>
    </xf>
    <xf numFmtId="0" fontId="7" fillId="9" borderId="0" xfId="0" applyFont="1" applyFill="1"/>
    <xf numFmtId="0" fontId="7" fillId="10" borderId="0" xfId="0" applyFont="1" applyFill="1"/>
    <xf numFmtId="0" fontId="7" fillId="11" borderId="0" xfId="0" applyFont="1" applyFill="1"/>
    <xf numFmtId="172" fontId="3" fillId="0" borderId="0" xfId="0" applyNumberFormat="1" applyFont="1" applyAlignment="1">
      <alignment horizontal="center" vertical="center"/>
    </xf>
    <xf numFmtId="10" fontId="3" fillId="2" borderId="0" xfId="3" applyNumberFormat="1" applyFont="1" applyFill="1" applyBorder="1" applyAlignment="1">
      <alignment horizontal="center" vertical="center"/>
    </xf>
    <xf numFmtId="10" fontId="3" fillId="2" borderId="4" xfId="3" applyNumberFormat="1" applyFont="1" applyFill="1" applyBorder="1" applyAlignment="1">
      <alignment horizontal="center" vertical="center"/>
    </xf>
    <xf numFmtId="168" fontId="3" fillId="2" borderId="0" xfId="0" applyNumberFormat="1" applyFont="1" applyFill="1" applyAlignment="1">
      <alignment horizontal="center" vertical="center"/>
    </xf>
    <xf numFmtId="0" fontId="3" fillId="5" borderId="9" xfId="0" applyFont="1" applyFill="1" applyBorder="1" applyAlignment="1">
      <alignment horizontal="center"/>
    </xf>
    <xf numFmtId="0" fontId="3" fillId="5" borderId="10" xfId="0" applyFont="1" applyFill="1" applyBorder="1" applyAlignment="1">
      <alignment horizontal="center"/>
    </xf>
    <xf numFmtId="0" fontId="3" fillId="6" borderId="9" xfId="0" applyFont="1" applyFill="1" applyBorder="1" applyAlignment="1">
      <alignment horizontal="center"/>
    </xf>
    <xf numFmtId="0" fontId="3" fillId="6" borderId="10" xfId="0" applyFont="1" applyFill="1" applyBorder="1" applyAlignment="1">
      <alignment horizontal="center"/>
    </xf>
    <xf numFmtId="10" fontId="3" fillId="3" borderId="0" xfId="3" applyNumberFormat="1" applyFont="1" applyFill="1" applyAlignment="1">
      <alignment horizontal="center" vertical="center"/>
    </xf>
    <xf numFmtId="10" fontId="3" fillId="3" borderId="0" xfId="3" applyNumberFormat="1" applyFont="1" applyFill="1" applyBorder="1" applyAlignment="1">
      <alignment horizontal="center" vertical="center"/>
    </xf>
    <xf numFmtId="10" fontId="3" fillId="3" borderId="4" xfId="3" applyNumberFormat="1" applyFont="1" applyFill="1" applyBorder="1" applyAlignment="1">
      <alignment horizontal="center" vertical="center"/>
    </xf>
    <xf numFmtId="169" fontId="3" fillId="2" borderId="0" xfId="0" applyNumberFormat="1" applyFont="1" applyFill="1" applyAlignment="1">
      <alignment horizontal="center" vertical="center"/>
    </xf>
    <xf numFmtId="164" fontId="3" fillId="3" borderId="0" xfId="0" applyNumberFormat="1" applyFont="1" applyFill="1" applyAlignment="1">
      <alignment horizontal="center" vertical="center"/>
    </xf>
    <xf numFmtId="0" fontId="3" fillId="3" borderId="0" xfId="0" applyFont="1" applyFill="1" applyAlignment="1">
      <alignment horizontal="center" vertical="center"/>
    </xf>
    <xf numFmtId="168" fontId="3" fillId="3" borderId="0" xfId="0" applyNumberFormat="1" applyFont="1" applyFill="1" applyAlignment="1">
      <alignment horizontal="center" vertical="center"/>
    </xf>
    <xf numFmtId="169" fontId="3" fillId="3" borderId="0" xfId="0" applyNumberFormat="1" applyFont="1" applyFill="1" applyAlignment="1">
      <alignment horizontal="center" vertical="center"/>
    </xf>
    <xf numFmtId="170" fontId="3" fillId="3" borderId="0" xfId="0" applyNumberFormat="1" applyFont="1" applyFill="1" applyAlignment="1">
      <alignment horizontal="center" vertical="center"/>
    </xf>
    <xf numFmtId="167" fontId="3" fillId="3" borderId="0" xfId="0" applyNumberFormat="1" applyFont="1" applyFill="1" applyAlignment="1">
      <alignment horizontal="center" vertical="center"/>
    </xf>
    <xf numFmtId="9" fontId="3" fillId="3" borderId="0" xfId="3" applyFont="1" applyFill="1" applyAlignment="1">
      <alignment horizontal="center" vertical="center"/>
    </xf>
    <xf numFmtId="10" fontId="3" fillId="2" borderId="0" xfId="3" applyNumberFormat="1" applyFont="1" applyFill="1" applyAlignment="1">
      <alignment horizontal="center" vertical="center"/>
    </xf>
    <xf numFmtId="0" fontId="9" fillId="2" borderId="0" xfId="0" applyFont="1" applyFill="1" applyAlignment="1">
      <alignment horizontal="center"/>
    </xf>
    <xf numFmtId="0" fontId="9" fillId="3" borderId="0" xfId="0" applyFont="1" applyFill="1" applyAlignment="1">
      <alignment horizontal="center"/>
    </xf>
    <xf numFmtId="170" fontId="3" fillId="3" borderId="6" xfId="0" applyNumberFormat="1" applyFont="1" applyFill="1" applyBorder="1" applyAlignment="1">
      <alignment horizontal="center" vertical="center"/>
    </xf>
    <xf numFmtId="172" fontId="3" fillId="3" borderId="0" xfId="0" applyNumberFormat="1" applyFont="1" applyFill="1" applyAlignment="1">
      <alignment horizontal="center" vertical="center"/>
    </xf>
    <xf numFmtId="170" fontId="3" fillId="2" borderId="0" xfId="0" applyNumberFormat="1" applyFont="1" applyFill="1" applyAlignment="1">
      <alignment horizontal="center" vertical="center"/>
    </xf>
    <xf numFmtId="167" fontId="3" fillId="2" borderId="0" xfId="0" applyNumberFormat="1" applyFont="1" applyFill="1" applyAlignment="1">
      <alignment horizontal="center" vertical="center"/>
    </xf>
    <xf numFmtId="9" fontId="3" fillId="2" borderId="6" xfId="3" applyFont="1" applyFill="1" applyBorder="1" applyAlignment="1">
      <alignment horizontal="center" vertical="center"/>
    </xf>
    <xf numFmtId="9" fontId="3" fillId="3" borderId="6" xfId="3" applyFont="1" applyFill="1" applyBorder="1" applyAlignment="1">
      <alignment horizontal="center" vertical="center"/>
    </xf>
    <xf numFmtId="170" fontId="3" fillId="2" borderId="6" xfId="0" applyNumberFormat="1" applyFont="1" applyFill="1" applyBorder="1" applyAlignment="1">
      <alignment horizontal="center" vertical="center"/>
    </xf>
    <xf numFmtId="171" fontId="3" fillId="2" borderId="0" xfId="0" applyNumberFormat="1" applyFont="1" applyFill="1" applyAlignment="1">
      <alignment horizontal="center" vertical="center"/>
    </xf>
    <xf numFmtId="9" fontId="3" fillId="2" borderId="0" xfId="3" applyFont="1" applyFill="1" applyAlignment="1">
      <alignment horizontal="center" vertical="center"/>
    </xf>
    <xf numFmtId="0" fontId="0" fillId="0" borderId="0" xfId="0" applyAlignment="1">
      <alignment horizontal="left" vertical="top" wrapText="1"/>
    </xf>
    <xf numFmtId="0" fontId="10" fillId="8" borderId="0" xfId="0" applyFont="1" applyFill="1" applyAlignment="1"/>
  </cellXfs>
  <cellStyles count="5">
    <cellStyle name="Comma" xfId="1" builtinId="3"/>
    <cellStyle name="Currency" xfId="2" builtinId="4"/>
    <cellStyle name="Hyperlink" xfId="4" builtinId="8"/>
    <cellStyle name="Normal" xfId="0" builtinId="0"/>
    <cellStyle name="Per cent" xfId="3" builtinId="5"/>
  </cellStyles>
  <dxfs count="0"/>
  <tableStyles count="0" defaultTableStyle="TableStyleMedium9" defaultPivotStyle="PivotStyleMedium7"/>
  <colors>
    <mruColors>
      <color rgb="FFFFC7CE"/>
      <color rgb="FFFCE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quantumcomputingreport.com/ionq-reports-fourth-quarter-and-full-year-2025-financial-results-first-quantum-company-to-surpass-100m-annual-revenue/" TargetMode="External"/><Relationship Id="rId7" Type="http://schemas.openxmlformats.org/officeDocument/2006/relationships/hyperlink" Target="https://finance.yahoo.com/news/ionqs-quantum-roadmap-foundry-strategy-162400233.html" TargetMode="External"/><Relationship Id="rId2" Type="http://schemas.openxmlformats.org/officeDocument/2006/relationships/hyperlink" Target="https://www.fool.com/investing/2026/03/29/1-unstoppable-quantum-computing-stock-to-buy-befor/" TargetMode="External"/><Relationship Id="rId1" Type="http://schemas.openxmlformats.org/officeDocument/2006/relationships/hyperlink" Target="https://www.fool.com/investing/2026/03/29/prediction-these-2-quantum-computing-stocks-will-s/" TargetMode="External"/><Relationship Id="rId6" Type="http://schemas.openxmlformats.org/officeDocument/2006/relationships/hyperlink" Target="https://www.businesswire.com/news/home/20260225290197/en/IonQ-Announces-Fourth-Quarter-and-Full-Year-2025-Financial-Results" TargetMode="External"/><Relationship Id="rId5" Type="http://schemas.openxmlformats.org/officeDocument/2006/relationships/hyperlink" Target="https://quantumcomputingreport.com/ionq-reports-fourth-quarter-and-full-year-2025-financial-results-first-quantum-company-to-surpass-100m-annual-revenue/" TargetMode="External"/><Relationship Id="rId4" Type="http://schemas.openxmlformats.org/officeDocument/2006/relationships/hyperlink" Target="https://quantumcomputingreport.com/ionq-reports-fourth-quarter-and-full-year-2025-financial-results-first-quantum-company-to-surpass-100m-annual-reven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93"/>
  <sheetViews>
    <sheetView topLeftCell="B1" zoomScale="150" zoomScaleNormal="150" zoomScalePageLayoutView="120" workbookViewId="0">
      <selection activeCell="G11" sqref="G11"/>
    </sheetView>
  </sheetViews>
  <sheetFormatPr defaultColWidth="9.140625" defaultRowHeight="12.75"/>
  <cols>
    <col min="1" max="1" width="8" customWidth="1"/>
    <col min="2" max="2" width="28" customWidth="1"/>
    <col min="3" max="3" width="1" customWidth="1"/>
    <col min="4" max="4" width="20" customWidth="1"/>
    <col min="5" max="5" width="11.42578125" customWidth="1"/>
    <col min="6" max="6" width="25.85546875" customWidth="1"/>
    <col min="7" max="7" width="18.7109375" bestFit="1" customWidth="1"/>
    <col min="8" max="8" width="2.42578125" customWidth="1"/>
    <col min="9" max="9" width="8.28515625" customWidth="1"/>
    <col min="10" max="10" width="26.85546875" bestFit="1" customWidth="1"/>
    <col min="11" max="11" width="1.140625" customWidth="1"/>
    <col min="12" max="12" width="16.42578125" bestFit="1" customWidth="1"/>
    <col min="13" max="13" width="12.140625" customWidth="1"/>
    <col min="14" max="14" width="27.42578125" style="1" customWidth="1"/>
    <col min="15" max="15" width="18" bestFit="1" customWidth="1"/>
    <col min="16" max="16" width="2.28515625" customWidth="1"/>
    <col min="17" max="18" width="9.140625" customWidth="1"/>
  </cols>
  <sheetData>
    <row r="1" spans="1:15" ht="20.25">
      <c r="A1" s="2" t="s">
        <v>0</v>
      </c>
      <c r="J1" s="2"/>
      <c r="K1" s="2"/>
      <c r="L1" s="2"/>
      <c r="M1" s="2"/>
      <c r="N1" s="3"/>
    </row>
    <row r="2" spans="1:15" ht="23.25">
      <c r="A2" s="143">
        <v>2025</v>
      </c>
      <c r="B2" s="143"/>
      <c r="C2" s="143"/>
      <c r="D2" s="143"/>
      <c r="E2" s="143"/>
      <c r="F2" s="143"/>
      <c r="G2" s="143"/>
      <c r="I2" s="144">
        <v>2024</v>
      </c>
      <c r="J2" s="144"/>
      <c r="K2" s="144"/>
      <c r="L2" s="144"/>
      <c r="M2" s="144"/>
      <c r="N2" s="144"/>
      <c r="O2" s="144"/>
    </row>
    <row r="3" spans="1:15" ht="15">
      <c r="A3" s="4" t="s">
        <v>1</v>
      </c>
      <c r="B3" s="5"/>
      <c r="C3" s="5"/>
      <c r="D3" s="5"/>
      <c r="E3" s="5"/>
      <c r="F3" s="127" t="s">
        <v>2</v>
      </c>
      <c r="G3" s="128"/>
      <c r="I3" s="27" t="s">
        <v>1</v>
      </c>
      <c r="J3" s="28"/>
      <c r="K3" s="28"/>
      <c r="L3" s="28"/>
      <c r="M3" s="28"/>
      <c r="N3" s="29"/>
      <c r="O3" s="28"/>
    </row>
    <row r="4" spans="1:15">
      <c r="A4" s="6" t="s">
        <v>3</v>
      </c>
      <c r="B4" s="5"/>
      <c r="C4" s="5"/>
      <c r="D4" s="5"/>
      <c r="E4" s="5"/>
      <c r="F4" s="55"/>
      <c r="G4" s="79"/>
      <c r="I4" s="30" t="s">
        <v>3</v>
      </c>
      <c r="J4" s="28"/>
      <c r="K4" s="28"/>
      <c r="L4" s="28"/>
      <c r="M4" s="28"/>
      <c r="N4" s="129" t="s">
        <v>2</v>
      </c>
      <c r="O4" s="130"/>
    </row>
    <row r="5" spans="1:15">
      <c r="A5" s="6"/>
      <c r="B5" s="12" t="s">
        <v>4</v>
      </c>
      <c r="C5" s="53"/>
      <c r="D5" s="86">
        <f>G5</f>
        <v>2586439000</v>
      </c>
      <c r="E5" s="126">
        <f>D5/D6</f>
        <v>15.503905289974524</v>
      </c>
      <c r="F5" s="56" t="s">
        <v>5</v>
      </c>
      <c r="G5" s="85">
        <v>2586439000</v>
      </c>
      <c r="I5" s="30"/>
      <c r="J5" s="31" t="s">
        <v>4</v>
      </c>
      <c r="K5" s="54"/>
      <c r="L5" s="95">
        <f>O5</f>
        <v>378802000</v>
      </c>
      <c r="M5" s="137">
        <f>L5/L6</f>
        <v>10.497492032700569</v>
      </c>
      <c r="N5" s="69" t="s">
        <v>5</v>
      </c>
      <c r="O5" s="85">
        <v>378802000</v>
      </c>
    </row>
    <row r="6" spans="1:15">
      <c r="A6" s="6"/>
      <c r="B6" s="8" t="s">
        <v>6</v>
      </c>
      <c r="C6" s="8"/>
      <c r="D6" s="87">
        <f>G6</f>
        <v>166825000</v>
      </c>
      <c r="E6" s="126"/>
      <c r="F6" s="56" t="s">
        <v>7</v>
      </c>
      <c r="G6" s="85">
        <v>166825000</v>
      </c>
      <c r="I6" s="30"/>
      <c r="J6" s="33" t="s">
        <v>6</v>
      </c>
      <c r="K6" s="33"/>
      <c r="L6" s="96">
        <f>O6</f>
        <v>36085000</v>
      </c>
      <c r="M6" s="137"/>
      <c r="N6" s="69" t="s">
        <v>7</v>
      </c>
      <c r="O6" s="85">
        <v>36085000</v>
      </c>
    </row>
    <row r="7" spans="1:15">
      <c r="A7" s="6"/>
      <c r="B7" s="8"/>
      <c r="C7" s="8"/>
      <c r="D7" s="9"/>
      <c r="E7" s="10"/>
      <c r="F7" s="56"/>
      <c r="G7" s="80"/>
      <c r="I7" s="30"/>
      <c r="J7" s="33"/>
      <c r="K7" s="33"/>
      <c r="L7" s="34"/>
      <c r="M7" s="35"/>
      <c r="N7" s="69"/>
      <c r="O7" s="72"/>
    </row>
    <row r="8" spans="1:15">
      <c r="A8" s="6" t="s">
        <v>8</v>
      </c>
      <c r="B8" s="5"/>
      <c r="C8" s="5"/>
      <c r="D8" s="11"/>
      <c r="E8" s="5"/>
      <c r="F8" s="56"/>
      <c r="G8" s="79"/>
      <c r="I8" s="30" t="s">
        <v>8</v>
      </c>
      <c r="J8" s="28"/>
      <c r="K8" s="28"/>
      <c r="L8" s="36"/>
      <c r="M8" s="28"/>
      <c r="N8" s="69"/>
      <c r="O8" s="73"/>
    </row>
    <row r="9" spans="1:15">
      <c r="A9" s="6"/>
      <c r="B9" s="12" t="s">
        <v>9</v>
      </c>
      <c r="C9" s="8"/>
      <c r="D9" s="86">
        <f>G9-G10</f>
        <v>2576129000</v>
      </c>
      <c r="E9" s="126">
        <f>D9/D10</f>
        <v>15.442104001198862</v>
      </c>
      <c r="F9" s="56" t="s">
        <v>5</v>
      </c>
      <c r="G9" s="88">
        <f>G5</f>
        <v>2586439000</v>
      </c>
      <c r="I9" s="30"/>
      <c r="J9" s="37" t="s">
        <v>9</v>
      </c>
      <c r="K9" s="33"/>
      <c r="L9" s="95">
        <f>O9-O10</f>
        <v>378802000</v>
      </c>
      <c r="M9" s="137">
        <f>L9/L10</f>
        <v>10.497492032700569</v>
      </c>
      <c r="N9" s="69" t="s">
        <v>5</v>
      </c>
      <c r="O9" s="97">
        <f>O5</f>
        <v>378802000</v>
      </c>
    </row>
    <row r="10" spans="1:15">
      <c r="A10" s="6"/>
      <c r="B10" s="8" t="s">
        <v>6</v>
      </c>
      <c r="C10" s="8"/>
      <c r="D10" s="87">
        <f>G6</f>
        <v>166825000</v>
      </c>
      <c r="E10" s="126"/>
      <c r="F10" s="56" t="s">
        <v>10</v>
      </c>
      <c r="G10" s="85">
        <v>10310000</v>
      </c>
      <c r="I10" s="30"/>
      <c r="J10" s="33" t="s">
        <v>6</v>
      </c>
      <c r="K10" s="33"/>
      <c r="L10" s="96">
        <f>O6</f>
        <v>36085000</v>
      </c>
      <c r="M10" s="137"/>
      <c r="N10" s="69" t="s">
        <v>10</v>
      </c>
      <c r="O10" s="85">
        <v>0</v>
      </c>
    </row>
    <row r="11" spans="1:15">
      <c r="A11" s="6"/>
      <c r="B11" s="8"/>
      <c r="C11" s="8"/>
      <c r="D11" s="9"/>
      <c r="E11" s="10"/>
      <c r="F11" s="56"/>
      <c r="G11" s="80"/>
      <c r="I11" s="30"/>
      <c r="J11" s="33"/>
      <c r="K11" s="33"/>
      <c r="L11" s="34"/>
      <c r="M11" s="35"/>
      <c r="N11" s="69"/>
      <c r="O11" s="72"/>
    </row>
    <row r="12" spans="1:15">
      <c r="A12" s="6" t="s">
        <v>11</v>
      </c>
      <c r="B12" s="5"/>
      <c r="C12" s="5"/>
      <c r="D12" s="8"/>
      <c r="E12" s="5"/>
      <c r="F12" s="56"/>
      <c r="G12" s="80"/>
      <c r="I12" s="30" t="s">
        <v>11</v>
      </c>
      <c r="J12" s="28"/>
      <c r="K12" s="28"/>
      <c r="L12" s="33"/>
      <c r="M12" s="28"/>
      <c r="N12" s="69"/>
      <c r="O12" s="72"/>
    </row>
    <row r="13" spans="1:15">
      <c r="A13" s="5"/>
      <c r="B13" s="12" t="s">
        <v>12</v>
      </c>
      <c r="C13" s="8"/>
      <c r="D13" s="86">
        <f>G13</f>
        <v>21171000</v>
      </c>
      <c r="E13" s="149">
        <f>D13/D14</f>
        <v>5.5206665792232991E-3</v>
      </c>
      <c r="F13" s="56" t="s">
        <v>13</v>
      </c>
      <c r="G13" s="85">
        <v>21171000</v>
      </c>
      <c r="I13" s="28"/>
      <c r="J13" s="37" t="s">
        <v>14</v>
      </c>
      <c r="K13" s="33"/>
      <c r="L13" s="95">
        <f>O13</f>
        <v>14359000</v>
      </c>
      <c r="M13" s="150">
        <f>L13/L14</f>
        <v>3.6057867365106314E-2</v>
      </c>
      <c r="N13" s="69" t="s">
        <v>15</v>
      </c>
      <c r="O13" s="85">
        <v>14359000</v>
      </c>
    </row>
    <row r="14" spans="1:15">
      <c r="A14" s="5"/>
      <c r="B14" s="8" t="s">
        <v>16</v>
      </c>
      <c r="C14" s="8"/>
      <c r="D14" s="87">
        <f>G13+G14</f>
        <v>3834863000</v>
      </c>
      <c r="E14" s="149"/>
      <c r="F14" s="56" t="s">
        <v>17</v>
      </c>
      <c r="G14" s="85">
        <v>3813692000</v>
      </c>
      <c r="I14" s="28"/>
      <c r="J14" s="33" t="s">
        <v>16</v>
      </c>
      <c r="K14" s="33"/>
      <c r="L14" s="96">
        <f>O13+O14</f>
        <v>398221000</v>
      </c>
      <c r="M14" s="150"/>
      <c r="N14" s="69" t="s">
        <v>17</v>
      </c>
      <c r="O14" s="85">
        <v>383862000</v>
      </c>
    </row>
    <row r="15" spans="1:15">
      <c r="A15" s="5"/>
      <c r="B15" s="5"/>
      <c r="C15" s="5"/>
      <c r="D15" s="13"/>
      <c r="E15" s="5"/>
      <c r="F15" s="56"/>
      <c r="G15" s="79"/>
      <c r="I15" s="28"/>
      <c r="J15" s="28"/>
      <c r="K15" s="28"/>
      <c r="L15" s="38"/>
      <c r="M15" s="28"/>
      <c r="N15" s="69"/>
      <c r="O15" s="73"/>
    </row>
    <row r="16" spans="1:15">
      <c r="A16" s="120" t="s">
        <v>18</v>
      </c>
      <c r="B16" s="5"/>
      <c r="C16" s="5"/>
      <c r="D16" s="5"/>
      <c r="E16" s="5"/>
      <c r="F16" s="56"/>
      <c r="G16" s="79"/>
      <c r="I16" s="120" t="s">
        <v>18</v>
      </c>
      <c r="J16" s="28"/>
      <c r="K16" s="28"/>
      <c r="L16" s="28"/>
      <c r="M16" s="28"/>
      <c r="N16" s="69"/>
      <c r="O16" s="73"/>
    </row>
    <row r="17" spans="1:15">
      <c r="A17" s="5"/>
      <c r="B17" s="14" t="s">
        <v>19</v>
      </c>
      <c r="C17" s="16"/>
      <c r="D17" s="89">
        <f>G17</f>
        <v>-633715000</v>
      </c>
      <c r="E17" s="147">
        <f>D17/D18</f>
        <v>-7.0631736159873384</v>
      </c>
      <c r="F17" s="56" t="s">
        <v>20</v>
      </c>
      <c r="G17" s="85">
        <v>-633715000</v>
      </c>
      <c r="I17" s="28"/>
      <c r="J17" s="39" t="s">
        <v>19</v>
      </c>
      <c r="K17" s="41"/>
      <c r="L17" s="98">
        <f>O17</f>
        <v>-232455000</v>
      </c>
      <c r="M17" s="139">
        <f>L17/L18</f>
        <v>-14.153373112518265</v>
      </c>
      <c r="N17" s="69" t="s">
        <v>21</v>
      </c>
      <c r="O17" s="85">
        <v>-232455000</v>
      </c>
    </row>
    <row r="18" spans="1:15">
      <c r="A18" s="5"/>
      <c r="B18" s="16" t="s">
        <v>22</v>
      </c>
      <c r="C18" s="16"/>
      <c r="D18" s="90">
        <f>G18</f>
        <v>89721000</v>
      </c>
      <c r="E18" s="147"/>
      <c r="F18" s="56" t="s">
        <v>23</v>
      </c>
      <c r="G18" s="85">
        <v>89721000</v>
      </c>
      <c r="I18" s="28"/>
      <c r="J18" s="41" t="s">
        <v>24</v>
      </c>
      <c r="K18" s="41"/>
      <c r="L18" s="99">
        <f>O18</f>
        <v>16424000</v>
      </c>
      <c r="M18" s="139"/>
      <c r="N18" s="69" t="s">
        <v>25</v>
      </c>
      <c r="O18" s="85">
        <v>16424000</v>
      </c>
    </row>
    <row r="19" spans="1:15">
      <c r="A19" s="5"/>
      <c r="B19" s="16"/>
      <c r="C19" s="16"/>
      <c r="D19" s="16"/>
      <c r="E19" s="5"/>
      <c r="F19" s="56"/>
      <c r="G19" s="79"/>
      <c r="I19" s="28"/>
      <c r="J19" s="41"/>
      <c r="K19" s="41"/>
      <c r="L19" s="41"/>
      <c r="M19" s="28"/>
      <c r="N19" s="69"/>
      <c r="O19" s="73"/>
    </row>
    <row r="20" spans="1:15">
      <c r="A20" s="6" t="s">
        <v>26</v>
      </c>
      <c r="B20" s="5"/>
      <c r="C20" s="5"/>
      <c r="D20" s="5"/>
      <c r="E20" s="5"/>
      <c r="F20" s="56"/>
      <c r="G20" s="79"/>
      <c r="I20" s="30" t="s">
        <v>26</v>
      </c>
      <c r="J20" s="28"/>
      <c r="K20" s="28"/>
      <c r="L20" s="28"/>
      <c r="M20" s="28"/>
      <c r="N20" s="69"/>
      <c r="O20" s="73"/>
    </row>
    <row r="21" spans="1:15">
      <c r="A21" s="6"/>
      <c r="B21" s="14" t="s">
        <v>27</v>
      </c>
      <c r="C21" s="16"/>
      <c r="D21" s="89">
        <f>G21</f>
        <v>-512121000</v>
      </c>
      <c r="E21" s="151" t="e">
        <f>D21/D22</f>
        <v>#DIV/0!</v>
      </c>
      <c r="F21" s="56" t="s">
        <v>28</v>
      </c>
      <c r="G21" s="85">
        <v>-512121000</v>
      </c>
      <c r="I21" s="30"/>
      <c r="J21" s="39" t="s">
        <v>27</v>
      </c>
      <c r="K21" s="41"/>
      <c r="L21" s="98">
        <f>O21</f>
        <v>-331647000</v>
      </c>
      <c r="M21" s="145" t="e">
        <f>L21/L22</f>
        <v>#DIV/0!</v>
      </c>
      <c r="N21" s="69" t="s">
        <v>28</v>
      </c>
      <c r="O21" s="85">
        <f>-331647000</f>
        <v>-331647000</v>
      </c>
    </row>
    <row r="22" spans="1:15">
      <c r="A22" s="6"/>
      <c r="B22" s="16" t="s">
        <v>29</v>
      </c>
      <c r="C22" s="16"/>
      <c r="D22" s="90">
        <f>G22</f>
        <v>0</v>
      </c>
      <c r="E22" s="151"/>
      <c r="F22" s="56" t="s">
        <v>30</v>
      </c>
      <c r="G22" s="85">
        <v>0</v>
      </c>
      <c r="I22" s="30"/>
      <c r="J22" s="41" t="s">
        <v>29</v>
      </c>
      <c r="K22" s="41"/>
      <c r="L22" s="99">
        <f>O22</f>
        <v>0</v>
      </c>
      <c r="M22" s="145"/>
      <c r="N22" s="69" t="s">
        <v>30</v>
      </c>
      <c r="O22" s="85">
        <v>0</v>
      </c>
    </row>
    <row r="23" spans="1:15">
      <c r="A23" s="5"/>
      <c r="B23" s="16"/>
      <c r="C23" s="16"/>
      <c r="D23" s="16"/>
      <c r="E23" s="5"/>
      <c r="F23" s="56"/>
      <c r="G23" s="79"/>
      <c r="I23" s="28"/>
      <c r="J23" s="41"/>
      <c r="K23" s="41"/>
      <c r="L23" s="41"/>
      <c r="M23" s="28"/>
      <c r="N23" s="69"/>
      <c r="O23" s="73"/>
    </row>
    <row r="24" spans="1:15">
      <c r="A24" s="57"/>
      <c r="B24" s="14"/>
      <c r="C24" s="14"/>
      <c r="D24" s="14"/>
      <c r="E24" s="57"/>
      <c r="F24" s="58"/>
      <c r="G24" s="81"/>
      <c r="H24" s="59"/>
      <c r="I24" s="60"/>
      <c r="J24" s="39"/>
      <c r="K24" s="39"/>
      <c r="L24" s="39"/>
      <c r="M24" s="60"/>
      <c r="N24" s="70"/>
      <c r="O24" s="74"/>
    </row>
    <row r="25" spans="1:15">
      <c r="A25" s="5"/>
      <c r="B25" s="16"/>
      <c r="C25" s="16"/>
      <c r="D25" s="16"/>
      <c r="E25" s="5"/>
      <c r="F25" s="56"/>
      <c r="G25" s="79"/>
      <c r="I25" s="28"/>
      <c r="J25" s="41"/>
      <c r="K25" s="41"/>
      <c r="L25" s="41"/>
      <c r="M25" s="28"/>
      <c r="N25" s="69"/>
      <c r="O25" s="73"/>
    </row>
    <row r="26" spans="1:15" ht="15">
      <c r="A26" s="4" t="s">
        <v>31</v>
      </c>
      <c r="B26" s="5"/>
      <c r="C26" s="5"/>
      <c r="D26" s="7"/>
      <c r="E26" s="5"/>
      <c r="F26" s="56"/>
      <c r="G26" s="79"/>
      <c r="I26" s="27" t="s">
        <v>31</v>
      </c>
      <c r="J26" s="28"/>
      <c r="K26" s="28"/>
      <c r="L26" s="32"/>
      <c r="M26" s="28"/>
      <c r="N26" s="69"/>
      <c r="O26" s="73"/>
    </row>
    <row r="27" spans="1:15" ht="15">
      <c r="A27" s="4"/>
      <c r="B27" s="5"/>
      <c r="C27" s="5"/>
      <c r="D27" s="7"/>
      <c r="E27" s="5"/>
      <c r="F27" s="56"/>
      <c r="G27" s="79"/>
      <c r="I27" s="27"/>
      <c r="J27" s="28"/>
      <c r="K27" s="28"/>
      <c r="L27" s="32"/>
      <c r="M27" s="28"/>
      <c r="N27" s="69"/>
      <c r="O27" s="73"/>
    </row>
    <row r="28" spans="1:15">
      <c r="A28" s="6" t="s">
        <v>32</v>
      </c>
      <c r="B28" s="5"/>
      <c r="C28" s="5"/>
      <c r="D28" s="7"/>
      <c r="E28" s="5"/>
      <c r="F28" s="56"/>
      <c r="G28" s="79"/>
      <c r="I28" s="30" t="s">
        <v>32</v>
      </c>
      <c r="J28" s="28"/>
      <c r="K28" s="28"/>
      <c r="L28" s="32"/>
      <c r="M28" s="28"/>
      <c r="N28" s="69"/>
      <c r="O28" s="73"/>
    </row>
    <row r="29" spans="1:15">
      <c r="A29" s="6"/>
      <c r="B29" s="12" t="s">
        <v>33</v>
      </c>
      <c r="C29" s="8"/>
      <c r="D29" s="86">
        <f>G29</f>
        <v>52528000</v>
      </c>
      <c r="E29" s="142">
        <f>D29/D30</f>
        <v>0.40401181393059316</v>
      </c>
      <c r="F29" s="56" t="s">
        <v>33</v>
      </c>
      <c r="G29" s="85">
        <v>52528000</v>
      </c>
      <c r="I29" s="30"/>
      <c r="J29" s="37" t="s">
        <v>33</v>
      </c>
      <c r="K29" s="33"/>
      <c r="L29" s="95">
        <f>O29</f>
        <v>22476000</v>
      </c>
      <c r="M29" s="131">
        <f>L29/L30</f>
        <v>0.52181180786107306</v>
      </c>
      <c r="N29" s="69" t="s">
        <v>33</v>
      </c>
      <c r="O29" s="85">
        <v>22476000</v>
      </c>
    </row>
    <row r="30" spans="1:15">
      <c r="A30" s="6"/>
      <c r="B30" s="8" t="s">
        <v>34</v>
      </c>
      <c r="C30" s="8"/>
      <c r="D30" s="87">
        <f>G30</f>
        <v>130016000</v>
      </c>
      <c r="E30" s="142"/>
      <c r="F30" s="56" t="s">
        <v>34</v>
      </c>
      <c r="G30" s="85">
        <v>130016000</v>
      </c>
      <c r="I30" s="30"/>
      <c r="J30" s="33" t="s">
        <v>34</v>
      </c>
      <c r="K30" s="33"/>
      <c r="L30" s="96">
        <f>O30</f>
        <v>43073000</v>
      </c>
      <c r="M30" s="131"/>
      <c r="N30" s="69" t="s">
        <v>34</v>
      </c>
      <c r="O30" s="85">
        <v>43073000</v>
      </c>
    </row>
    <row r="31" spans="1:15">
      <c r="A31" s="6"/>
      <c r="B31" s="8"/>
      <c r="C31" s="8"/>
      <c r="D31" s="17"/>
      <c r="E31" s="18"/>
      <c r="F31" s="56"/>
      <c r="G31" s="80"/>
      <c r="I31" s="30"/>
      <c r="J31" s="33"/>
      <c r="K31" s="33"/>
      <c r="L31" s="42"/>
      <c r="M31" s="43"/>
      <c r="N31" s="69"/>
      <c r="O31" s="72"/>
    </row>
    <row r="32" spans="1:15">
      <c r="A32" s="120" t="s">
        <v>35</v>
      </c>
      <c r="B32" s="5"/>
      <c r="C32" s="5"/>
      <c r="D32" s="5"/>
      <c r="E32" s="5"/>
      <c r="F32" s="56"/>
      <c r="G32" s="79"/>
      <c r="I32" s="120" t="s">
        <v>35</v>
      </c>
      <c r="J32" s="28"/>
      <c r="K32" s="28"/>
      <c r="L32" s="28"/>
      <c r="M32" s="28"/>
      <c r="N32" s="69"/>
      <c r="O32" s="73"/>
    </row>
    <row r="33" spans="1:15">
      <c r="A33" s="5"/>
      <c r="B33" s="12" t="s">
        <v>36</v>
      </c>
      <c r="C33" s="8"/>
      <c r="D33" s="86">
        <f>G33</f>
        <v>-633715000</v>
      </c>
      <c r="E33" s="142">
        <f>D33/D34</f>
        <v>-4.8741308761998523</v>
      </c>
      <c r="F33" s="56" t="s">
        <v>37</v>
      </c>
      <c r="G33" s="88">
        <f>G17</f>
        <v>-633715000</v>
      </c>
      <c r="I33" s="28"/>
      <c r="J33" s="37" t="s">
        <v>36</v>
      </c>
      <c r="K33" s="33"/>
      <c r="L33" s="95">
        <f>O33</f>
        <v>-232455000</v>
      </c>
      <c r="M33" s="131">
        <f>L33/L34</f>
        <v>-5.3967682771109509</v>
      </c>
      <c r="N33" s="69" t="s">
        <v>37</v>
      </c>
      <c r="O33" s="97">
        <f>O17</f>
        <v>-232455000</v>
      </c>
    </row>
    <row r="34" spans="1:15">
      <c r="A34" s="5"/>
      <c r="B34" s="8" t="s">
        <v>34</v>
      </c>
      <c r="C34" s="8"/>
      <c r="D34" s="87">
        <f>G34</f>
        <v>130016000</v>
      </c>
      <c r="E34" s="142"/>
      <c r="F34" s="56" t="s">
        <v>34</v>
      </c>
      <c r="G34" s="88">
        <f>G30</f>
        <v>130016000</v>
      </c>
      <c r="I34" s="28"/>
      <c r="J34" s="33" t="s">
        <v>34</v>
      </c>
      <c r="K34" s="33"/>
      <c r="L34" s="96">
        <f>O34</f>
        <v>43073000</v>
      </c>
      <c r="M34" s="131"/>
      <c r="N34" s="69" t="s">
        <v>34</v>
      </c>
      <c r="O34" s="97">
        <f>O30</f>
        <v>43073000</v>
      </c>
    </row>
    <row r="35" spans="1:15">
      <c r="A35" s="5"/>
      <c r="B35" s="8"/>
      <c r="C35" s="8"/>
      <c r="D35" s="17"/>
      <c r="E35" s="18"/>
      <c r="F35" s="56"/>
      <c r="G35" s="80"/>
      <c r="I35" s="28"/>
      <c r="J35" s="33"/>
      <c r="K35" s="33"/>
      <c r="L35" s="42"/>
      <c r="M35" s="43"/>
      <c r="N35" s="69"/>
      <c r="O35" s="72"/>
    </row>
    <row r="36" spans="1:15">
      <c r="A36" s="6" t="s">
        <v>38</v>
      </c>
      <c r="B36" s="5"/>
      <c r="C36" s="5"/>
      <c r="D36" s="5"/>
      <c r="E36" s="5"/>
      <c r="F36" s="56"/>
      <c r="G36" s="79"/>
      <c r="I36" s="30" t="s">
        <v>38</v>
      </c>
      <c r="J36" s="28"/>
      <c r="K36" s="28"/>
      <c r="L36" s="28"/>
      <c r="M36" s="28"/>
      <c r="N36" s="69"/>
      <c r="O36" s="73"/>
    </row>
    <row r="37" spans="1:15">
      <c r="A37" s="5"/>
      <c r="B37" s="12" t="s">
        <v>34</v>
      </c>
      <c r="C37" s="8"/>
      <c r="D37" s="91">
        <f>G37</f>
        <v>130016000</v>
      </c>
      <c r="E37" s="153">
        <f>D37/D38</f>
        <v>1.9788267245102929E-2</v>
      </c>
      <c r="F37" s="56" t="s">
        <v>34</v>
      </c>
      <c r="G37" s="88">
        <f>G30</f>
        <v>130016000</v>
      </c>
      <c r="I37" s="28"/>
      <c r="J37" s="37" t="s">
        <v>34</v>
      </c>
      <c r="K37" s="33"/>
      <c r="L37" s="100">
        <f>O37</f>
        <v>43073000</v>
      </c>
      <c r="M37" s="141">
        <f>L37/L38</f>
        <v>8.4724659118625936E-2</v>
      </c>
      <c r="N37" s="69" t="s">
        <v>34</v>
      </c>
      <c r="O37" s="97">
        <f>O30</f>
        <v>43073000</v>
      </c>
    </row>
    <row r="38" spans="1:15">
      <c r="A38" s="5"/>
      <c r="B38" s="8" t="s">
        <v>39</v>
      </c>
      <c r="C38" s="8"/>
      <c r="D38" s="92">
        <f>G38</f>
        <v>6570358000</v>
      </c>
      <c r="E38" s="153"/>
      <c r="F38" s="56" t="s">
        <v>39</v>
      </c>
      <c r="G38" s="85">
        <v>6570358000</v>
      </c>
      <c r="I38" s="28"/>
      <c r="J38" s="33" t="s">
        <v>39</v>
      </c>
      <c r="K38" s="33"/>
      <c r="L38" s="101">
        <f>O38</f>
        <v>508388000</v>
      </c>
      <c r="M38" s="141"/>
      <c r="N38" s="69" t="s">
        <v>39</v>
      </c>
      <c r="O38" s="85">
        <v>508388000</v>
      </c>
    </row>
    <row r="39" spans="1:15">
      <c r="A39" s="5"/>
      <c r="B39" s="8"/>
      <c r="C39" s="8"/>
      <c r="D39" s="20"/>
      <c r="E39" s="52"/>
      <c r="F39" s="56"/>
      <c r="G39" s="79"/>
      <c r="I39" s="28"/>
      <c r="J39" s="33"/>
      <c r="K39" s="33"/>
      <c r="L39" s="44"/>
      <c r="M39" s="51"/>
      <c r="N39" s="69"/>
      <c r="O39" s="73"/>
    </row>
    <row r="40" spans="1:15">
      <c r="A40" s="120" t="s">
        <v>40</v>
      </c>
      <c r="B40" s="5"/>
      <c r="C40" s="5"/>
      <c r="D40" s="16"/>
      <c r="E40" s="5"/>
      <c r="F40" s="56"/>
      <c r="G40" s="79"/>
      <c r="I40" s="120" t="s">
        <v>40</v>
      </c>
      <c r="J40" s="28"/>
      <c r="K40" s="28"/>
      <c r="L40" s="41"/>
      <c r="M40" s="28"/>
      <c r="N40" s="69"/>
      <c r="O40" s="73"/>
    </row>
    <row r="41" spans="1:15">
      <c r="A41" s="5"/>
      <c r="B41" s="12" t="s">
        <v>36</v>
      </c>
      <c r="C41" s="8"/>
      <c r="D41" s="91">
        <f>G41</f>
        <v>-633715000</v>
      </c>
      <c r="E41" s="142">
        <f>D41/D42</f>
        <v>-9.6450604365850387E-2</v>
      </c>
      <c r="F41" s="56" t="s">
        <v>37</v>
      </c>
      <c r="G41" s="88">
        <f>G17</f>
        <v>-633715000</v>
      </c>
      <c r="I41" s="28"/>
      <c r="J41" s="37" t="s">
        <v>36</v>
      </c>
      <c r="K41" s="33"/>
      <c r="L41" s="100">
        <f>O41</f>
        <v>-232455000</v>
      </c>
      <c r="M41" s="131">
        <f>L41/L42</f>
        <v>-0.45723935262043952</v>
      </c>
      <c r="N41" s="69" t="s">
        <v>37</v>
      </c>
      <c r="O41" s="97">
        <f>O17</f>
        <v>-232455000</v>
      </c>
    </row>
    <row r="42" spans="1:15">
      <c r="A42" s="5"/>
      <c r="B42" s="8" t="s">
        <v>39</v>
      </c>
      <c r="C42" s="8"/>
      <c r="D42" s="92">
        <f>G42</f>
        <v>6570358000</v>
      </c>
      <c r="E42" s="142"/>
      <c r="F42" s="56" t="s">
        <v>39</v>
      </c>
      <c r="G42" s="88">
        <f>G38</f>
        <v>6570358000</v>
      </c>
      <c r="I42" s="28"/>
      <c r="J42" s="33" t="s">
        <v>39</v>
      </c>
      <c r="K42" s="33"/>
      <c r="L42" s="101">
        <f>O42</f>
        <v>508388000</v>
      </c>
      <c r="M42" s="131"/>
      <c r="N42" s="69" t="s">
        <v>39</v>
      </c>
      <c r="O42" s="97">
        <f>O38</f>
        <v>508388000</v>
      </c>
    </row>
    <row r="43" spans="1:15">
      <c r="A43" s="57"/>
      <c r="B43" s="12"/>
      <c r="C43" s="12"/>
      <c r="D43" s="21"/>
      <c r="E43" s="61"/>
      <c r="F43" s="58"/>
      <c r="G43" s="81"/>
      <c r="H43" s="59"/>
      <c r="I43" s="60"/>
      <c r="J43" s="37"/>
      <c r="K43" s="37"/>
      <c r="L43" s="45"/>
      <c r="M43" s="62"/>
      <c r="N43" s="70"/>
      <c r="O43" s="74"/>
    </row>
    <row r="44" spans="1:15">
      <c r="A44" s="5"/>
      <c r="B44" s="5"/>
      <c r="C44" s="5"/>
      <c r="D44" s="16"/>
      <c r="E44" s="5"/>
      <c r="F44" s="56"/>
      <c r="G44" s="79"/>
      <c r="I44" s="28"/>
      <c r="J44" s="28"/>
      <c r="K44" s="28"/>
      <c r="L44" s="41"/>
      <c r="M44" s="28"/>
      <c r="N44" s="69"/>
      <c r="O44" s="73"/>
    </row>
    <row r="45" spans="1:15" ht="15">
      <c r="A45" s="4" t="s">
        <v>41</v>
      </c>
      <c r="B45" s="5"/>
      <c r="C45" s="5"/>
      <c r="D45" s="16"/>
      <c r="E45" s="5"/>
      <c r="F45" s="56"/>
      <c r="G45" s="79"/>
      <c r="I45" s="27" t="s">
        <v>41</v>
      </c>
      <c r="J45" s="28"/>
      <c r="K45" s="28"/>
      <c r="L45" s="41"/>
      <c r="M45" s="28"/>
      <c r="N45" s="69"/>
      <c r="O45" s="73"/>
    </row>
    <row r="46" spans="1:15" ht="15">
      <c r="A46" s="4"/>
      <c r="B46" s="5"/>
      <c r="C46" s="5"/>
      <c r="D46" s="16"/>
      <c r="E46" s="5"/>
      <c r="F46" s="56"/>
      <c r="G46" s="79"/>
      <c r="I46" s="27"/>
      <c r="J46" s="28"/>
      <c r="K46" s="28"/>
      <c r="L46" s="41"/>
      <c r="M46" s="28"/>
      <c r="N46" s="69"/>
      <c r="O46" s="73"/>
    </row>
    <row r="47" spans="1:15">
      <c r="A47" s="122" t="s">
        <v>42</v>
      </c>
      <c r="B47" s="5"/>
      <c r="C47" s="5"/>
      <c r="D47" s="16"/>
      <c r="E47" s="5"/>
      <c r="F47" s="56"/>
      <c r="G47" s="79"/>
      <c r="I47" s="122" t="s">
        <v>42</v>
      </c>
      <c r="J47" s="28"/>
      <c r="K47" s="28"/>
      <c r="L47" s="41"/>
      <c r="M47" s="28"/>
      <c r="N47" s="69"/>
      <c r="O47" s="73"/>
    </row>
    <row r="48" spans="1:15">
      <c r="A48" s="5"/>
      <c r="B48" s="12" t="s">
        <v>43</v>
      </c>
      <c r="C48" s="8"/>
      <c r="D48" s="91">
        <f>G48</f>
        <v>77488000</v>
      </c>
      <c r="E48" s="147">
        <f>D48/D49</f>
        <v>7.5158098933074688</v>
      </c>
      <c r="F48" s="56" t="s">
        <v>44</v>
      </c>
      <c r="G48" s="85">
        <v>77488000</v>
      </c>
      <c r="I48" s="28"/>
      <c r="J48" s="37" t="s">
        <v>43</v>
      </c>
      <c r="K48" s="33"/>
      <c r="L48" s="100">
        <f>O48</f>
        <v>20597000</v>
      </c>
      <c r="M48" s="139" t="e">
        <f>L48/L49</f>
        <v>#DIV/0!</v>
      </c>
      <c r="N48" s="69" t="s">
        <v>45</v>
      </c>
      <c r="O48" s="85">
        <v>20597000</v>
      </c>
    </row>
    <row r="49" spans="1:15">
      <c r="A49" s="5"/>
      <c r="B49" s="8" t="s">
        <v>46</v>
      </c>
      <c r="C49" s="8"/>
      <c r="D49" s="92">
        <f>G49</f>
        <v>10310000</v>
      </c>
      <c r="E49" s="147"/>
      <c r="F49" s="56" t="s">
        <v>10</v>
      </c>
      <c r="G49" s="85">
        <f>G10</f>
        <v>10310000</v>
      </c>
      <c r="I49" s="28"/>
      <c r="J49" s="33" t="s">
        <v>46</v>
      </c>
      <c r="K49" s="33"/>
      <c r="L49" s="101">
        <f>O49</f>
        <v>0</v>
      </c>
      <c r="M49" s="139"/>
      <c r="N49" s="69" t="s">
        <v>10</v>
      </c>
      <c r="O49" s="85">
        <v>0</v>
      </c>
    </row>
    <row r="50" spans="1:15">
      <c r="A50" s="5"/>
      <c r="B50" s="8"/>
      <c r="C50" s="8"/>
      <c r="D50" s="20"/>
      <c r="E50" s="52"/>
      <c r="F50" s="56"/>
      <c r="G50" s="79"/>
      <c r="I50" s="28"/>
      <c r="J50" s="33"/>
      <c r="K50" s="33"/>
      <c r="L50" s="44"/>
      <c r="M50" s="51"/>
      <c r="N50" s="69"/>
      <c r="O50" s="73"/>
    </row>
    <row r="51" spans="1:15">
      <c r="A51" s="122" t="s">
        <v>47</v>
      </c>
      <c r="B51" s="5"/>
      <c r="C51" s="5"/>
      <c r="D51" s="16"/>
      <c r="E51" s="5"/>
      <c r="F51" s="56"/>
      <c r="G51" s="79"/>
      <c r="I51" s="122" t="s">
        <v>47</v>
      </c>
      <c r="J51" s="28"/>
      <c r="K51" s="28"/>
      <c r="L51" s="41"/>
      <c r="M51" s="28"/>
      <c r="N51" s="69"/>
      <c r="O51" s="73"/>
    </row>
    <row r="52" spans="1:15">
      <c r="A52" s="5"/>
      <c r="B52" s="12">
        <v>365</v>
      </c>
      <c r="C52" s="8"/>
      <c r="D52" s="22">
        <v>365</v>
      </c>
      <c r="E52" s="148">
        <f>D52/D53</f>
        <v>48.564293826140819</v>
      </c>
      <c r="F52" s="56" t="s">
        <v>48</v>
      </c>
      <c r="G52" s="82">
        <f>E48</f>
        <v>7.5158098933074688</v>
      </c>
      <c r="I52" s="28"/>
      <c r="J52" s="37">
        <v>365</v>
      </c>
      <c r="K52" s="33"/>
      <c r="L52" s="46">
        <v>365</v>
      </c>
      <c r="M52" s="140" t="e">
        <f>L52/L53</f>
        <v>#DIV/0!</v>
      </c>
      <c r="N52" s="69" t="s">
        <v>48</v>
      </c>
      <c r="O52" s="75" t="e">
        <f>M48</f>
        <v>#DIV/0!</v>
      </c>
    </row>
    <row r="53" spans="1:15">
      <c r="A53" s="5"/>
      <c r="B53" s="8" t="s">
        <v>42</v>
      </c>
      <c r="C53" s="8"/>
      <c r="D53" s="24">
        <f>G52</f>
        <v>7.5158098933074688</v>
      </c>
      <c r="E53" s="148"/>
      <c r="F53" s="56"/>
      <c r="G53" s="79"/>
      <c r="I53" s="28"/>
      <c r="J53" s="33" t="s">
        <v>42</v>
      </c>
      <c r="K53" s="33"/>
      <c r="L53" s="48" t="e">
        <f>O52</f>
        <v>#DIV/0!</v>
      </c>
      <c r="M53" s="140"/>
      <c r="N53" s="69"/>
      <c r="O53" s="73"/>
    </row>
    <row r="54" spans="1:15">
      <c r="A54" s="5"/>
      <c r="B54" s="8"/>
      <c r="C54" s="8"/>
      <c r="D54" s="20"/>
      <c r="E54" s="52"/>
      <c r="F54" s="56"/>
      <c r="G54" s="79"/>
      <c r="I54" s="28"/>
      <c r="J54" s="33"/>
      <c r="K54" s="33"/>
      <c r="L54" s="44"/>
      <c r="M54" s="51"/>
      <c r="N54" s="69"/>
      <c r="O54" s="73"/>
    </row>
    <row r="55" spans="1:15">
      <c r="A55" s="6" t="s">
        <v>49</v>
      </c>
      <c r="B55" s="5"/>
      <c r="C55" s="5"/>
      <c r="D55" s="16"/>
      <c r="E55" s="5"/>
      <c r="F55" s="56"/>
      <c r="G55" s="79"/>
      <c r="I55" s="30" t="s">
        <v>49</v>
      </c>
      <c r="J55" s="28"/>
      <c r="K55" s="28"/>
      <c r="L55" s="41"/>
      <c r="M55" s="28"/>
      <c r="N55" s="69"/>
      <c r="O55" s="73"/>
    </row>
    <row r="56" spans="1:15">
      <c r="A56" s="5"/>
      <c r="B56" s="12" t="s">
        <v>50</v>
      </c>
      <c r="C56" s="8"/>
      <c r="D56" s="22">
        <f>G56*365</f>
        <v>24284180000</v>
      </c>
      <c r="E56" s="134">
        <f>D56/D57</f>
        <v>186.77839650504552</v>
      </c>
      <c r="F56" s="56" t="s">
        <v>51</v>
      </c>
      <c r="G56" s="85">
        <v>66532000</v>
      </c>
      <c r="I56" s="28"/>
      <c r="J56" s="37" t="s">
        <v>50</v>
      </c>
      <c r="K56" s="33"/>
      <c r="L56" s="46">
        <f>O56*365</f>
        <v>3718620000</v>
      </c>
      <c r="M56" s="138">
        <f>L56/L57</f>
        <v>86.332969609732316</v>
      </c>
      <c r="N56" s="69" t="s">
        <v>51</v>
      </c>
      <c r="O56" s="85">
        <v>10188000</v>
      </c>
    </row>
    <row r="57" spans="1:15">
      <c r="A57" s="5"/>
      <c r="B57" s="8" t="s">
        <v>34</v>
      </c>
      <c r="C57" s="8"/>
      <c r="D57" s="19">
        <f>G57</f>
        <v>130016000</v>
      </c>
      <c r="E57" s="134"/>
      <c r="F57" s="56" t="s">
        <v>34</v>
      </c>
      <c r="G57" s="88">
        <f>G30</f>
        <v>130016000</v>
      </c>
      <c r="I57" s="28"/>
      <c r="J57" s="33" t="s">
        <v>34</v>
      </c>
      <c r="K57" s="33"/>
      <c r="L57" s="101">
        <f>O57</f>
        <v>43073000</v>
      </c>
      <c r="M57" s="138"/>
      <c r="N57" s="69" t="s">
        <v>34</v>
      </c>
      <c r="O57" s="97">
        <f>O30</f>
        <v>43073000</v>
      </c>
    </row>
    <row r="58" spans="1:15">
      <c r="A58" s="5"/>
      <c r="B58" s="8"/>
      <c r="C58" s="8"/>
      <c r="D58" s="20"/>
      <c r="E58" s="18"/>
      <c r="F58" s="56"/>
      <c r="G58" s="79"/>
      <c r="I58" s="28"/>
      <c r="J58" s="33"/>
      <c r="K58" s="33"/>
      <c r="L58" s="44"/>
      <c r="M58" s="43"/>
      <c r="N58" s="69"/>
      <c r="O58" s="73"/>
    </row>
    <row r="59" spans="1:15">
      <c r="A59" s="6" t="s">
        <v>52</v>
      </c>
      <c r="B59" s="5"/>
      <c r="C59" s="5"/>
      <c r="D59" s="16"/>
      <c r="E59" s="23"/>
      <c r="F59" s="56"/>
      <c r="G59" s="79"/>
      <c r="I59" s="30" t="s">
        <v>52</v>
      </c>
      <c r="J59" s="28"/>
      <c r="K59" s="28"/>
      <c r="L59" s="41"/>
      <c r="M59" s="47"/>
      <c r="N59" s="69"/>
      <c r="O59" s="73"/>
    </row>
    <row r="60" spans="1:15">
      <c r="A60" s="5"/>
      <c r="B60" s="12" t="s">
        <v>53</v>
      </c>
      <c r="C60" s="8"/>
      <c r="D60" s="22">
        <f>G60*365</f>
        <v>9540370000</v>
      </c>
      <c r="E60" s="134">
        <f>D60/D61</f>
        <v>123.1206122238282</v>
      </c>
      <c r="F60" s="56" t="s">
        <v>54</v>
      </c>
      <c r="G60" s="85">
        <v>26138000</v>
      </c>
      <c r="I60" s="28"/>
      <c r="J60" s="37" t="s">
        <v>53</v>
      </c>
      <c r="K60" s="33"/>
      <c r="L60" s="46">
        <f>O60*365</f>
        <v>1908950000</v>
      </c>
      <c r="M60" s="138">
        <f>L60/L61</f>
        <v>92.680972957226786</v>
      </c>
      <c r="N60" s="69" t="s">
        <v>54</v>
      </c>
      <c r="O60" s="85">
        <v>5230000</v>
      </c>
    </row>
    <row r="61" spans="1:15">
      <c r="A61" s="5"/>
      <c r="B61" s="8" t="s">
        <v>55</v>
      </c>
      <c r="C61" s="8"/>
      <c r="D61" s="92">
        <f>G61</f>
        <v>77488000</v>
      </c>
      <c r="E61" s="134"/>
      <c r="F61" s="56" t="s">
        <v>44</v>
      </c>
      <c r="G61" s="88">
        <f>G48</f>
        <v>77488000</v>
      </c>
      <c r="I61" s="28"/>
      <c r="J61" s="33" t="s">
        <v>55</v>
      </c>
      <c r="K61" s="33"/>
      <c r="L61" s="101">
        <f>O61</f>
        <v>20597000</v>
      </c>
      <c r="M61" s="138"/>
      <c r="N61" s="69" t="s">
        <v>56</v>
      </c>
      <c r="O61" s="97">
        <f>O48</f>
        <v>20597000</v>
      </c>
    </row>
    <row r="62" spans="1:15">
      <c r="A62" s="57"/>
      <c r="B62" s="12"/>
      <c r="C62" s="12"/>
      <c r="D62" s="21"/>
      <c r="E62" s="61"/>
      <c r="F62" s="58"/>
      <c r="G62" s="81"/>
      <c r="H62" s="59"/>
      <c r="I62" s="60"/>
      <c r="J62" s="37"/>
      <c r="K62" s="37"/>
      <c r="L62" s="45"/>
      <c r="M62" s="62"/>
      <c r="N62" s="70"/>
      <c r="O62" s="74"/>
    </row>
    <row r="63" spans="1:15">
      <c r="A63" s="5"/>
      <c r="B63" s="8"/>
      <c r="C63" s="8"/>
      <c r="D63" s="20"/>
      <c r="E63" s="52"/>
      <c r="F63" s="56"/>
      <c r="G63" s="79"/>
      <c r="I63" s="28"/>
      <c r="J63" s="33"/>
      <c r="K63" s="33"/>
      <c r="L63" s="44"/>
      <c r="M63" s="51"/>
      <c r="N63" s="69"/>
      <c r="O63" s="73"/>
    </row>
    <row r="64" spans="1:15" ht="15">
      <c r="A64" s="4" t="s">
        <v>57</v>
      </c>
      <c r="B64" s="5"/>
      <c r="C64" s="5"/>
      <c r="D64" s="5"/>
      <c r="E64" s="5"/>
      <c r="F64" s="56"/>
      <c r="G64" s="79"/>
      <c r="I64" s="27" t="s">
        <v>57</v>
      </c>
      <c r="J64" s="28"/>
      <c r="K64" s="28"/>
      <c r="L64" s="28"/>
      <c r="M64" s="28"/>
      <c r="N64" s="69"/>
      <c r="O64" s="73"/>
    </row>
    <row r="65" spans="1:15" ht="15">
      <c r="A65" s="4"/>
      <c r="B65" s="5"/>
      <c r="C65" s="5"/>
      <c r="D65" s="5"/>
      <c r="E65" s="5"/>
      <c r="F65" s="56"/>
      <c r="G65" s="79"/>
      <c r="I65" s="27"/>
      <c r="J65" s="28"/>
      <c r="K65" s="28"/>
      <c r="L65" s="28"/>
      <c r="M65" s="28"/>
      <c r="N65" s="69"/>
      <c r="O65" s="73"/>
    </row>
    <row r="66" spans="1:15">
      <c r="A66" s="6" t="s">
        <v>58</v>
      </c>
      <c r="B66" s="5"/>
      <c r="C66" s="5"/>
      <c r="D66" s="5"/>
      <c r="E66" s="5"/>
      <c r="F66" s="56"/>
      <c r="G66" s="79"/>
      <c r="I66" s="30" t="s">
        <v>58</v>
      </c>
      <c r="J66" s="28"/>
      <c r="K66" s="28"/>
      <c r="L66" s="28"/>
      <c r="M66" s="28"/>
      <c r="N66" s="69"/>
      <c r="O66" s="73"/>
    </row>
    <row r="67" spans="1:15">
      <c r="A67" s="5"/>
      <c r="B67" s="14" t="s">
        <v>27</v>
      </c>
      <c r="C67" s="16"/>
      <c r="D67" s="89">
        <f>G67</f>
        <v>-512121000</v>
      </c>
      <c r="E67" s="146">
        <v>-1.82</v>
      </c>
      <c r="F67" s="56" t="s">
        <v>28</v>
      </c>
      <c r="G67" s="88">
        <f>G21</f>
        <v>-512121000</v>
      </c>
      <c r="I67" s="28"/>
      <c r="J67" s="39" t="s">
        <v>27</v>
      </c>
      <c r="K67" s="41"/>
      <c r="L67" s="98">
        <f>O67</f>
        <v>-331647000</v>
      </c>
      <c r="M67" s="146">
        <v>-1.56</v>
      </c>
      <c r="N67" s="69" t="s">
        <v>28</v>
      </c>
      <c r="O67" s="97">
        <f>O21</f>
        <v>-331647000</v>
      </c>
    </row>
    <row r="68" spans="1:15">
      <c r="A68" s="5"/>
      <c r="B68" s="16" t="s">
        <v>59</v>
      </c>
      <c r="C68" s="16"/>
      <c r="D68" s="16">
        <f>G68</f>
        <v>362592722</v>
      </c>
      <c r="E68" s="146"/>
      <c r="F68" s="56" t="s">
        <v>60</v>
      </c>
      <c r="G68" s="76">
        <v>362592722</v>
      </c>
      <c r="I68" s="28"/>
      <c r="J68" s="41" t="s">
        <v>59</v>
      </c>
      <c r="K68" s="41"/>
      <c r="L68" s="41">
        <f>O68</f>
        <v>221919191</v>
      </c>
      <c r="M68" s="146"/>
      <c r="N68" s="69" t="s">
        <v>60</v>
      </c>
      <c r="O68" s="103">
        <v>221919191</v>
      </c>
    </row>
    <row r="69" spans="1:15">
      <c r="A69" s="5"/>
      <c r="B69" s="5"/>
      <c r="C69" s="5"/>
      <c r="D69" s="5"/>
      <c r="E69" s="5"/>
      <c r="F69" s="56"/>
      <c r="G69" s="79"/>
      <c r="I69" s="28"/>
      <c r="J69" s="28"/>
      <c r="K69" s="28"/>
      <c r="L69" s="28"/>
      <c r="M69" s="28"/>
      <c r="N69" s="69"/>
      <c r="O69" s="73"/>
    </row>
    <row r="70" spans="1:15" hidden="1">
      <c r="A70" s="6" t="s">
        <v>61</v>
      </c>
      <c r="B70" s="5"/>
      <c r="C70" s="5"/>
      <c r="D70" s="5"/>
      <c r="E70" s="5"/>
      <c r="F70" s="56"/>
      <c r="G70" s="79"/>
      <c r="I70" s="30" t="s">
        <v>61</v>
      </c>
      <c r="J70" s="28"/>
      <c r="K70" s="28"/>
      <c r="L70" s="28"/>
      <c r="M70" s="28"/>
      <c r="N70" s="69"/>
      <c r="O70" s="73"/>
    </row>
    <row r="71" spans="1:15" ht="12.75" hidden="1" customHeight="1">
      <c r="A71" s="6"/>
      <c r="B71" s="14" t="s">
        <v>62</v>
      </c>
      <c r="C71" s="16"/>
      <c r="D71" s="15">
        <f>G71</f>
        <v>0</v>
      </c>
      <c r="E71" s="152">
        <f>D71/D72</f>
        <v>0</v>
      </c>
      <c r="F71" s="56" t="s">
        <v>30</v>
      </c>
      <c r="G71" s="80">
        <f>G22</f>
        <v>0</v>
      </c>
      <c r="I71" s="30"/>
      <c r="J71" s="39" t="s">
        <v>62</v>
      </c>
      <c r="K71" s="41"/>
      <c r="L71" s="40">
        <f>O71</f>
        <v>0</v>
      </c>
      <c r="M71" s="135">
        <f>L71/L72</f>
        <v>0</v>
      </c>
      <c r="N71" s="69" t="s">
        <v>30</v>
      </c>
      <c r="O71" s="72">
        <f>O22</f>
        <v>0</v>
      </c>
    </row>
    <row r="72" spans="1:15" ht="12.75" hidden="1" customHeight="1">
      <c r="A72" s="6"/>
      <c r="B72" s="16" t="s">
        <v>63</v>
      </c>
      <c r="C72" s="16"/>
      <c r="D72" s="16">
        <f>G72</f>
        <v>362592722</v>
      </c>
      <c r="E72" s="152"/>
      <c r="F72" s="56" t="s">
        <v>60</v>
      </c>
      <c r="G72" s="83">
        <f>G68</f>
        <v>362592722</v>
      </c>
      <c r="I72" s="30"/>
      <c r="J72" s="41" t="s">
        <v>63</v>
      </c>
      <c r="K72" s="41"/>
      <c r="L72" s="41">
        <f>O72</f>
        <v>221919191</v>
      </c>
      <c r="M72" s="136"/>
      <c r="N72" s="69" t="s">
        <v>60</v>
      </c>
      <c r="O72" s="77">
        <f>O68</f>
        <v>221919191</v>
      </c>
    </row>
    <row r="73" spans="1:15" hidden="1">
      <c r="A73" s="6"/>
      <c r="B73" s="5"/>
      <c r="C73" s="5"/>
      <c r="D73" s="5"/>
      <c r="E73" s="5"/>
      <c r="F73" s="56"/>
      <c r="G73" s="79"/>
      <c r="I73" s="30"/>
      <c r="J73" s="28"/>
      <c r="K73" s="28"/>
      <c r="L73" s="28"/>
      <c r="M73" s="28"/>
      <c r="N73" s="69"/>
      <c r="O73" s="73"/>
    </row>
    <row r="74" spans="1:15" hidden="1">
      <c r="A74" s="6" t="s">
        <v>64</v>
      </c>
      <c r="B74" s="5"/>
      <c r="C74" s="5"/>
      <c r="D74" s="5"/>
      <c r="E74" s="5"/>
      <c r="F74" s="56"/>
      <c r="G74" s="79"/>
      <c r="I74" s="30" t="s">
        <v>64</v>
      </c>
      <c r="J74" s="28"/>
      <c r="K74" s="28"/>
      <c r="L74" s="28"/>
      <c r="M74" s="28"/>
      <c r="N74" s="69"/>
      <c r="O74" s="73"/>
    </row>
    <row r="75" spans="1:15" ht="12.75" hidden="1" customHeight="1">
      <c r="A75" s="6"/>
      <c r="B75" s="14" t="s">
        <v>61</v>
      </c>
      <c r="C75" s="16"/>
      <c r="D75" s="25">
        <f>E71</f>
        <v>0</v>
      </c>
      <c r="E75" s="142">
        <f>D75/D76</f>
        <v>0</v>
      </c>
      <c r="F75" s="56" t="s">
        <v>65</v>
      </c>
      <c r="G75" s="78">
        <v>13.25</v>
      </c>
      <c r="I75" s="30"/>
      <c r="J75" s="39" t="s">
        <v>61</v>
      </c>
      <c r="K75" s="41"/>
      <c r="L75" s="49">
        <f>M71</f>
        <v>0</v>
      </c>
      <c r="M75" s="131">
        <f>L75/L76</f>
        <v>0</v>
      </c>
      <c r="N75" s="69" t="s">
        <v>65</v>
      </c>
      <c r="O75" s="78">
        <v>8.31</v>
      </c>
    </row>
    <row r="76" spans="1:15" ht="12.75" hidden="1" customHeight="1">
      <c r="A76" s="6"/>
      <c r="B76" s="16" t="s">
        <v>66</v>
      </c>
      <c r="C76" s="16"/>
      <c r="D76" s="26">
        <f>G75</f>
        <v>13.25</v>
      </c>
      <c r="E76" s="142"/>
      <c r="F76" s="56"/>
      <c r="G76" s="79"/>
      <c r="I76" s="30"/>
      <c r="J76" s="41" t="s">
        <v>66</v>
      </c>
      <c r="K76" s="41"/>
      <c r="L76" s="50">
        <f>O75</f>
        <v>8.31</v>
      </c>
      <c r="M76" s="131"/>
      <c r="N76" s="69"/>
      <c r="O76" s="73"/>
    </row>
    <row r="77" spans="1:15" hidden="1">
      <c r="A77" s="6"/>
      <c r="B77" s="5"/>
      <c r="C77" s="5"/>
      <c r="D77" s="5"/>
      <c r="E77" s="5"/>
      <c r="F77" s="56"/>
      <c r="G77" s="79"/>
      <c r="I77" s="30"/>
      <c r="J77" s="28"/>
      <c r="K77" s="28"/>
      <c r="L77" s="28"/>
      <c r="M77" s="28"/>
      <c r="N77" s="69"/>
      <c r="O77" s="73"/>
    </row>
    <row r="78" spans="1:15">
      <c r="A78" s="121" t="s">
        <v>67</v>
      </c>
      <c r="B78" s="5"/>
      <c r="C78" s="5"/>
      <c r="D78" s="5"/>
      <c r="E78" s="5"/>
      <c r="F78" s="56"/>
      <c r="G78" s="79"/>
      <c r="I78" s="30" t="s">
        <v>67</v>
      </c>
      <c r="J78" s="28"/>
      <c r="K78" s="28"/>
      <c r="L78" s="28"/>
      <c r="M78" s="28"/>
      <c r="N78" s="69"/>
      <c r="O78" s="73"/>
    </row>
    <row r="79" spans="1:15">
      <c r="A79" s="6"/>
      <c r="B79" s="14" t="s">
        <v>66</v>
      </c>
      <c r="C79" s="16"/>
      <c r="D79" s="89">
        <f>G79</f>
        <v>44.87</v>
      </c>
      <c r="E79" s="126">
        <f>D79/D80</f>
        <v>-24.653846153846153</v>
      </c>
      <c r="F79" s="56" t="s">
        <v>65</v>
      </c>
      <c r="G79" s="85">
        <v>44.87</v>
      </c>
      <c r="I79" s="30"/>
      <c r="J79" s="39" t="s">
        <v>66</v>
      </c>
      <c r="K79" s="41"/>
      <c r="L79" s="98">
        <f>O79</f>
        <v>41.74</v>
      </c>
      <c r="M79" s="137">
        <f>L79/L80</f>
        <v>-26.756410256410255</v>
      </c>
      <c r="N79" s="69" t="s">
        <v>65</v>
      </c>
      <c r="O79" s="85">
        <v>41.74</v>
      </c>
    </row>
    <row r="80" spans="1:15">
      <c r="A80" s="6"/>
      <c r="B80" s="16" t="s">
        <v>58</v>
      </c>
      <c r="C80" s="16"/>
      <c r="D80" s="90">
        <f>G80</f>
        <v>-1.82</v>
      </c>
      <c r="E80" s="126"/>
      <c r="F80" s="56" t="s">
        <v>68</v>
      </c>
      <c r="G80" s="85">
        <f>E67</f>
        <v>-1.82</v>
      </c>
      <c r="I80" s="30"/>
      <c r="J80" s="41" t="s">
        <v>58</v>
      </c>
      <c r="K80" s="41"/>
      <c r="L80" s="99">
        <f>O80</f>
        <v>-1.56</v>
      </c>
      <c r="M80" s="137"/>
      <c r="N80" s="69" t="s">
        <v>68</v>
      </c>
      <c r="O80" s="85">
        <f>M67</f>
        <v>-1.56</v>
      </c>
    </row>
    <row r="81" spans="1:15">
      <c r="A81" s="6"/>
      <c r="B81" s="5"/>
      <c r="C81" s="5"/>
      <c r="D81" s="5"/>
      <c r="E81" s="5"/>
      <c r="F81" s="56"/>
      <c r="G81" s="79"/>
      <c r="I81" s="30"/>
      <c r="J81" s="28"/>
      <c r="K81" s="28"/>
      <c r="L81" s="28"/>
      <c r="M81" s="28"/>
      <c r="N81" s="69"/>
      <c r="O81" s="73"/>
    </row>
    <row r="82" spans="1:15">
      <c r="A82" s="120" t="s">
        <v>69</v>
      </c>
      <c r="B82" s="5"/>
      <c r="C82" s="5"/>
      <c r="D82" s="5"/>
      <c r="E82" s="5"/>
      <c r="F82" s="56"/>
      <c r="G82" s="79"/>
      <c r="I82" s="30" t="s">
        <v>69</v>
      </c>
      <c r="J82" s="28"/>
      <c r="K82" s="28"/>
      <c r="L82" s="28"/>
      <c r="M82" s="28"/>
      <c r="N82" s="69"/>
      <c r="O82" s="73"/>
    </row>
    <row r="83" spans="1:15">
      <c r="A83" s="6"/>
      <c r="B83" s="14" t="s">
        <v>70</v>
      </c>
      <c r="C83" s="16"/>
      <c r="D83" s="89">
        <f>G83</f>
        <v>-633715000</v>
      </c>
      <c r="E83" s="142">
        <f>D83/D84</f>
        <v>-0.16623550162742723</v>
      </c>
      <c r="F83" s="56" t="s">
        <v>37</v>
      </c>
      <c r="G83" s="88">
        <f>G17</f>
        <v>-633715000</v>
      </c>
      <c r="I83" s="30"/>
      <c r="J83" s="39" t="s">
        <v>70</v>
      </c>
      <c r="K83" s="41"/>
      <c r="L83" s="98">
        <f>O83</f>
        <v>-232455000</v>
      </c>
      <c r="M83" s="131">
        <f>L83/L84</f>
        <v>-0.60585170570496993</v>
      </c>
      <c r="N83" s="69" t="s">
        <v>37</v>
      </c>
      <c r="O83" s="97">
        <f>O17</f>
        <v>-232455000</v>
      </c>
    </row>
    <row r="84" spans="1:15">
      <c r="A84" s="6"/>
      <c r="B84" s="16" t="s">
        <v>71</v>
      </c>
      <c r="C84" s="16"/>
      <c r="D84" s="90">
        <f>G84+G85</f>
        <v>3812152000</v>
      </c>
      <c r="E84" s="142"/>
      <c r="F84" s="56" t="s">
        <v>72</v>
      </c>
      <c r="G84" s="85">
        <v>5006250000</v>
      </c>
      <c r="I84" s="30"/>
      <c r="J84" s="84" t="s">
        <v>73</v>
      </c>
      <c r="K84" s="41"/>
      <c r="L84" s="99">
        <f>O84+O85</f>
        <v>383683000</v>
      </c>
      <c r="M84" s="131"/>
      <c r="N84" s="69" t="s">
        <v>72</v>
      </c>
      <c r="O84" s="85">
        <v>1067403000</v>
      </c>
    </row>
    <row r="85" spans="1:15">
      <c r="A85" s="6"/>
      <c r="B85" s="5"/>
      <c r="C85" s="5"/>
      <c r="D85" s="5"/>
      <c r="E85" s="5"/>
      <c r="F85" s="56" t="s">
        <v>74</v>
      </c>
      <c r="G85" s="85">
        <v>-1194098000</v>
      </c>
      <c r="I85" s="30"/>
      <c r="J85" s="28"/>
      <c r="K85" s="28"/>
      <c r="L85" s="28"/>
      <c r="M85" s="28"/>
      <c r="N85" s="69" t="s">
        <v>74</v>
      </c>
      <c r="O85" s="85">
        <v>-683720000</v>
      </c>
    </row>
    <row r="86" spans="1:15">
      <c r="A86" s="6"/>
      <c r="B86" s="5"/>
      <c r="C86" s="5"/>
      <c r="D86" s="5"/>
      <c r="E86" s="5"/>
      <c r="F86" s="56"/>
      <c r="G86" s="79"/>
      <c r="I86" s="30"/>
      <c r="J86" s="28"/>
      <c r="K86" s="28"/>
      <c r="L86" s="28"/>
      <c r="M86" s="28"/>
      <c r="N86" s="69"/>
      <c r="O86" s="73"/>
    </row>
    <row r="87" spans="1:15">
      <c r="A87" s="6" t="s">
        <v>75</v>
      </c>
      <c r="B87" s="5"/>
      <c r="C87" s="5"/>
      <c r="D87" s="5"/>
      <c r="E87" s="5"/>
      <c r="F87" s="56"/>
      <c r="G87" s="79"/>
      <c r="I87" s="30" t="s">
        <v>75</v>
      </c>
      <c r="J87" s="28"/>
      <c r="K87" s="28"/>
      <c r="L87" s="28"/>
      <c r="M87" s="28"/>
      <c r="N87" s="69"/>
      <c r="O87" s="73"/>
    </row>
    <row r="88" spans="1:15">
      <c r="A88" s="5"/>
      <c r="B88" s="14" t="s">
        <v>19</v>
      </c>
      <c r="C88" s="16"/>
      <c r="D88" s="89">
        <f>G88</f>
        <v>-734284000</v>
      </c>
      <c r="E88" s="124">
        <f>D88/D89</f>
        <v>-0.11466857436355837</v>
      </c>
      <c r="F88" s="56" t="s">
        <v>76</v>
      </c>
      <c r="G88" s="88">
        <v>-734284000</v>
      </c>
      <c r="I88" s="28"/>
      <c r="J88" s="39" t="s">
        <v>19</v>
      </c>
      <c r="K88" s="41"/>
      <c r="L88" s="98">
        <f>O88</f>
        <v>-115289000</v>
      </c>
      <c r="M88" s="132">
        <f>L88/L89</f>
        <v>-0.24409965636466421</v>
      </c>
      <c r="N88" s="69" t="s">
        <v>76</v>
      </c>
      <c r="O88" s="97">
        <v>-115289000</v>
      </c>
    </row>
    <row r="89" spans="1:15" ht="13.5" customHeight="1">
      <c r="A89" s="63"/>
      <c r="B89" s="64" t="s">
        <v>77</v>
      </c>
      <c r="C89" s="64"/>
      <c r="D89" s="93">
        <f>G89</f>
        <v>6403533000</v>
      </c>
      <c r="E89" s="125"/>
      <c r="F89" s="65" t="s">
        <v>78</v>
      </c>
      <c r="G89" s="94">
        <v>6403533000</v>
      </c>
      <c r="H89" s="66"/>
      <c r="I89" s="67"/>
      <c r="J89" s="68" t="s">
        <v>77</v>
      </c>
      <c r="K89" s="68"/>
      <c r="L89" s="102">
        <f>O89</f>
        <v>472303000</v>
      </c>
      <c r="M89" s="133"/>
      <c r="N89" s="71" t="s">
        <v>78</v>
      </c>
      <c r="O89" s="94">
        <v>472303000</v>
      </c>
    </row>
    <row r="92" spans="1:15">
      <c r="E92" s="123"/>
    </row>
    <row r="93" spans="1:15">
      <c r="E93" s="123"/>
    </row>
  </sheetData>
  <mergeCells count="43">
    <mergeCell ref="E67:E68"/>
    <mergeCell ref="E71:E72"/>
    <mergeCell ref="E75:E76"/>
    <mergeCell ref="E37:E38"/>
    <mergeCell ref="E41:E42"/>
    <mergeCell ref="E56:E57"/>
    <mergeCell ref="M9:M10"/>
    <mergeCell ref="M13:M14"/>
    <mergeCell ref="M29:M30"/>
    <mergeCell ref="E17:E18"/>
    <mergeCell ref="E21:E22"/>
    <mergeCell ref="M37:M38"/>
    <mergeCell ref="M41:M42"/>
    <mergeCell ref="E83:E84"/>
    <mergeCell ref="A2:G2"/>
    <mergeCell ref="I2:O2"/>
    <mergeCell ref="M17:M18"/>
    <mergeCell ref="M21:M22"/>
    <mergeCell ref="M67:M68"/>
    <mergeCell ref="E48:E49"/>
    <mergeCell ref="E52:E53"/>
    <mergeCell ref="M5:M6"/>
    <mergeCell ref="E5:E6"/>
    <mergeCell ref="E9:E10"/>
    <mergeCell ref="E13:E14"/>
    <mergeCell ref="E29:E30"/>
    <mergeCell ref="E33:E34"/>
    <mergeCell ref="E92:E93"/>
    <mergeCell ref="E88:E89"/>
    <mergeCell ref="E79:E80"/>
    <mergeCell ref="F3:G3"/>
    <mergeCell ref="N4:O4"/>
    <mergeCell ref="M83:M84"/>
    <mergeCell ref="M88:M89"/>
    <mergeCell ref="E60:E61"/>
    <mergeCell ref="M71:M72"/>
    <mergeCell ref="M75:M76"/>
    <mergeCell ref="M79:M80"/>
    <mergeCell ref="M60:M61"/>
    <mergeCell ref="M48:M49"/>
    <mergeCell ref="M52:M53"/>
    <mergeCell ref="M56:M57"/>
    <mergeCell ref="M33:M34"/>
  </mergeCells>
  <phoneticPr fontId="4" type="noConversion"/>
  <pageMargins left="0.7" right="0.7" top="0.75" bottom="0.75" header="0.5" footer="0.5"/>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E32A3-E680-4483-B665-099AE1E91A9F}">
  <dimension ref="A1:E32"/>
  <sheetViews>
    <sheetView tabSelected="1" workbookViewId="0">
      <selection activeCell="C4" sqref="C4"/>
    </sheetView>
  </sheetViews>
  <sheetFormatPr defaultRowHeight="12.75"/>
  <cols>
    <col min="1" max="1" width="27" customWidth="1"/>
    <col min="2" max="3" width="10.7109375" customWidth="1"/>
    <col min="4" max="4" width="73.5703125" customWidth="1"/>
    <col min="5" max="5" width="84.7109375" customWidth="1"/>
  </cols>
  <sheetData>
    <row r="1" spans="1:5">
      <c r="A1" s="105" t="s">
        <v>79</v>
      </c>
      <c r="B1" s="104">
        <v>2025</v>
      </c>
      <c r="C1" s="104">
        <v>2024</v>
      </c>
      <c r="D1" s="106" t="s">
        <v>80</v>
      </c>
      <c r="E1" s="106" t="s">
        <v>81</v>
      </c>
    </row>
    <row r="2" spans="1:5">
      <c r="A2" s="155" t="s">
        <v>82</v>
      </c>
      <c r="B2" s="155"/>
      <c r="C2" s="155"/>
      <c r="D2" s="155"/>
    </row>
    <row r="3" spans="1:5" ht="168.75" customHeight="1">
      <c r="A3" s="113" t="s">
        <v>3</v>
      </c>
      <c r="B3" s="108">
        <f>Ratios!E5</f>
        <v>15.503905289974524</v>
      </c>
      <c r="C3" s="108">
        <f>Ratios!M5</f>
        <v>10.497492032700569</v>
      </c>
      <c r="D3" s="118" t="s">
        <v>83</v>
      </c>
      <c r="E3" s="114" t="s">
        <v>84</v>
      </c>
    </row>
    <row r="4" spans="1:5" ht="168" customHeight="1">
      <c r="A4" s="113" t="s">
        <v>8</v>
      </c>
      <c r="B4" s="108">
        <f>Ratios!E9</f>
        <v>15.442104001198862</v>
      </c>
      <c r="C4" s="108">
        <f>Ratios!M9</f>
        <v>10.497492032700569</v>
      </c>
      <c r="D4" s="118" t="s">
        <v>83</v>
      </c>
    </row>
    <row r="5" spans="1:5" ht="35.25">
      <c r="A5" s="113" t="s">
        <v>11</v>
      </c>
      <c r="B5" s="109">
        <f>Ratios!E13</f>
        <v>5.5206665792232991E-3</v>
      </c>
      <c r="C5" s="109">
        <f>Ratios!M13</f>
        <v>3.6057867365106314E-2</v>
      </c>
      <c r="D5" s="119" t="s">
        <v>85</v>
      </c>
      <c r="E5" s="107" t="s">
        <v>86</v>
      </c>
    </row>
    <row r="6" spans="1:5" ht="84">
      <c r="A6" s="113" t="s">
        <v>18</v>
      </c>
      <c r="B6" s="108">
        <f>Ratios!E17</f>
        <v>-7.0631736159873384</v>
      </c>
      <c r="C6" s="108">
        <f>Ratios!M17</f>
        <v>-14.153373112518265</v>
      </c>
      <c r="D6" s="118" t="s">
        <v>87</v>
      </c>
      <c r="E6" s="116" t="s">
        <v>88</v>
      </c>
    </row>
    <row r="7" spans="1:5">
      <c r="A7" s="113" t="s">
        <v>26</v>
      </c>
      <c r="B7" s="110" t="e">
        <f>Ratios!E21</f>
        <v>#DIV/0!</v>
      </c>
      <c r="C7" s="110" t="e">
        <f>Ratios!M21</f>
        <v>#DIV/0!</v>
      </c>
      <c r="D7" s="107" t="s">
        <v>89</v>
      </c>
    </row>
    <row r="8" spans="1:5">
      <c r="B8" s="110"/>
      <c r="C8" s="110"/>
      <c r="D8" s="107"/>
    </row>
    <row r="9" spans="1:5">
      <c r="A9" s="155" t="s">
        <v>90</v>
      </c>
      <c r="B9" s="155"/>
      <c r="C9" s="155"/>
      <c r="D9" s="155"/>
    </row>
    <row r="10" spans="1:5" ht="127.5">
      <c r="A10" s="113" t="s">
        <v>32</v>
      </c>
      <c r="B10" s="111">
        <f>Ratios!E29</f>
        <v>0.40401181393059316</v>
      </c>
      <c r="C10" s="111">
        <f>Ratios!M29</f>
        <v>0.52181180786107306</v>
      </c>
      <c r="D10" s="107" t="s">
        <v>91</v>
      </c>
      <c r="E10" s="117" t="s">
        <v>92</v>
      </c>
    </row>
    <row r="11" spans="1:5" ht="152.25">
      <c r="A11" s="113" t="s">
        <v>35</v>
      </c>
      <c r="B11" s="111">
        <f>Ratios!E33</f>
        <v>-4.8741308761998523</v>
      </c>
      <c r="C11" s="111">
        <f>Ratios!M33</f>
        <v>-5.3967682771109509</v>
      </c>
      <c r="D11" s="118" t="s">
        <v>93</v>
      </c>
      <c r="E11" s="117" t="s">
        <v>92</v>
      </c>
    </row>
    <row r="12" spans="1:5" ht="127.5">
      <c r="A12" s="113" t="s">
        <v>38</v>
      </c>
      <c r="B12" s="109">
        <f>Ratios!E37</f>
        <v>1.9788267245102929E-2</v>
      </c>
      <c r="C12" s="109">
        <f>Ratios!M37</f>
        <v>8.4724659118625936E-2</v>
      </c>
      <c r="D12" s="107" t="s">
        <v>94</v>
      </c>
      <c r="E12" s="117" t="s">
        <v>92</v>
      </c>
    </row>
    <row r="13" spans="1:5" ht="58.5">
      <c r="A13" s="113" t="s">
        <v>40</v>
      </c>
      <c r="B13" s="111">
        <f>Ratios!E41</f>
        <v>-9.6450604365850387E-2</v>
      </c>
      <c r="C13" s="111">
        <f>Ratios!M41</f>
        <v>-0.45723935262043952</v>
      </c>
      <c r="D13" s="107" t="s">
        <v>95</v>
      </c>
      <c r="E13" s="117" t="s">
        <v>96</v>
      </c>
    </row>
    <row r="14" spans="1:5">
      <c r="A14" s="113"/>
      <c r="B14" s="110"/>
      <c r="C14" s="110"/>
      <c r="D14" s="107"/>
    </row>
    <row r="15" spans="1:5">
      <c r="A15" s="155" t="s">
        <v>97</v>
      </c>
      <c r="B15" s="155"/>
      <c r="C15" s="155"/>
      <c r="D15" s="155"/>
    </row>
    <row r="16" spans="1:5">
      <c r="A16" s="113" t="s">
        <v>42</v>
      </c>
      <c r="B16" s="110">
        <f>Ratios!E48</f>
        <v>7.5158098933074688</v>
      </c>
      <c r="C16" s="110" t="e">
        <f>Ratios!M48</f>
        <v>#DIV/0!</v>
      </c>
      <c r="D16" s="107" t="s">
        <v>98</v>
      </c>
    </row>
    <row r="17" spans="1:4">
      <c r="A17" s="113" t="s">
        <v>47</v>
      </c>
      <c r="B17" s="110">
        <f>Ratios!E52</f>
        <v>48.564293826140819</v>
      </c>
      <c r="C17" s="110" t="e">
        <f>Ratios!M52</f>
        <v>#DIV/0!</v>
      </c>
      <c r="D17" s="107" t="s">
        <v>98</v>
      </c>
    </row>
    <row r="18" spans="1:4" ht="126" customHeight="1">
      <c r="A18" s="113" t="s">
        <v>99</v>
      </c>
      <c r="B18" s="112">
        <f>Ratios!E56</f>
        <v>186.77839650504552</v>
      </c>
      <c r="C18" s="112">
        <f>Ratios!M56</f>
        <v>86.332969609732316</v>
      </c>
      <c r="D18" s="154" t="s">
        <v>100</v>
      </c>
    </row>
    <row r="19" spans="1:4" ht="126" customHeight="1">
      <c r="A19" s="113" t="s">
        <v>101</v>
      </c>
      <c r="B19" s="112">
        <f>Ratios!E60</f>
        <v>123.1206122238282</v>
      </c>
      <c r="C19" s="112">
        <f>Ratios!M60</f>
        <v>92.680972957226786</v>
      </c>
      <c r="D19" s="154"/>
    </row>
    <row r="20" spans="1:4">
      <c r="A20" s="113"/>
      <c r="B20" s="110"/>
      <c r="C20" s="110"/>
      <c r="D20" s="107"/>
    </row>
    <row r="21" spans="1:4">
      <c r="A21" s="155" t="s">
        <v>102</v>
      </c>
      <c r="B21" s="155"/>
      <c r="C21" s="155"/>
      <c r="D21" s="155"/>
    </row>
    <row r="22" spans="1:4">
      <c r="A22" s="113" t="s">
        <v>58</v>
      </c>
      <c r="B22" s="108">
        <f>Ratios!G80</f>
        <v>-1.82</v>
      </c>
      <c r="C22" s="108">
        <f>Ratios!O80</f>
        <v>-1.56</v>
      </c>
      <c r="D22" s="107"/>
    </row>
    <row r="23" spans="1:4">
      <c r="A23" s="113" t="s">
        <v>103</v>
      </c>
      <c r="B23" s="108">
        <f>Ratios!E79</f>
        <v>-24.653846153846153</v>
      </c>
      <c r="C23" s="108">
        <f>Ratios!M79</f>
        <v>-26.756410256410255</v>
      </c>
      <c r="D23" s="107"/>
    </row>
    <row r="24" spans="1:4">
      <c r="A24" s="113" t="s">
        <v>69</v>
      </c>
      <c r="B24" s="111">
        <f>Ratios!E83</f>
        <v>-0.16623550162742723</v>
      </c>
      <c r="C24" s="111">
        <f>Ratios!M83</f>
        <v>-0.60585170570496993</v>
      </c>
      <c r="D24" s="107"/>
    </row>
    <row r="25" spans="1:4">
      <c r="A25" s="113" t="s">
        <v>75</v>
      </c>
      <c r="B25" s="111">
        <f>Ratios!E88</f>
        <v>-0.11466857436355837</v>
      </c>
      <c r="C25" s="111">
        <f>Ratios!M88</f>
        <v>-0.24409965636466421</v>
      </c>
      <c r="D25" s="107"/>
    </row>
    <row r="26" spans="1:4">
      <c r="B26" s="110"/>
      <c r="C26" s="110"/>
    </row>
    <row r="27" spans="1:4">
      <c r="A27" s="155"/>
      <c r="B27" s="155"/>
      <c r="C27" s="155"/>
      <c r="D27" s="155"/>
    </row>
    <row r="28" spans="1:4">
      <c r="A28" t="s">
        <v>104</v>
      </c>
    </row>
    <row r="29" spans="1:4">
      <c r="A29" s="115" t="s">
        <v>105</v>
      </c>
    </row>
    <row r="30" spans="1:4">
      <c r="A30" s="115" t="s">
        <v>106</v>
      </c>
    </row>
    <row r="32" spans="1:4">
      <c r="A32" s="115"/>
    </row>
  </sheetData>
  <mergeCells count="6">
    <mergeCell ref="A2:D2"/>
    <mergeCell ref="A9:D9"/>
    <mergeCell ref="A15:D15"/>
    <mergeCell ref="A21:D21"/>
    <mergeCell ref="A27:D27"/>
    <mergeCell ref="D18:D19"/>
  </mergeCells>
  <hyperlinks>
    <hyperlink ref="A29" r:id="rId1" xr:uid="{330E418D-0634-224D-BBD1-0C57AD41DFD0}"/>
    <hyperlink ref="A30" r:id="rId2" xr:uid="{BE2AB686-F7C6-BE4D-B1BD-FC87AAD72F65}"/>
    <hyperlink ref="E10" r:id="rId3" xr:uid="{CCA757BF-8F25-D04E-963D-B5CBE8C85BF1}"/>
    <hyperlink ref="E11" r:id="rId4" xr:uid="{74CAD771-248F-4D45-9257-A2A0DABCBFDB}"/>
    <hyperlink ref="E12" r:id="rId5" xr:uid="{58DA3CC5-52C5-904C-B420-1CDD58198834}"/>
    <hyperlink ref="E13" r:id="rId6" xr:uid="{34C720CE-3DC5-4A4C-BC7A-65E845847FEB}"/>
    <hyperlink ref="E6" r:id="rId7" xr:uid="{243F2EB9-FB5E-486C-B8D9-1ACF860734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Dublin Institute of Technology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O'Callaghan</dc:creator>
  <cp:keywords/>
  <dc:description/>
  <cp:lastModifiedBy>Nitin Umesh Mysore</cp:lastModifiedBy>
  <cp:revision/>
  <dcterms:created xsi:type="dcterms:W3CDTF">2004-01-06T18:03:59Z</dcterms:created>
  <dcterms:modified xsi:type="dcterms:W3CDTF">2026-04-09T22:16:05Z</dcterms:modified>
  <cp:category/>
  <cp:contentStatus/>
</cp:coreProperties>
</file>